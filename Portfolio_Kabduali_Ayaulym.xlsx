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Mercedes" sheetId="1" r:id="rId1"/>
    <sheet name="Dior" sheetId="2" r:id="rId2"/>
    <sheet name="Combine" sheetId="3" r:id="rId3"/>
    <sheet name="S&amp;P 500" sheetId="4" r:id="rId4"/>
    <sheet name="Sharpe Ratio and Comparison of " sheetId="5" r:id="rId5"/>
    <sheet name="Regression" sheetId="6" r:id="rId6"/>
  </sheets>
  <calcPr calcId="144525"/>
</workbook>
</file>

<file path=xl/calcChain.xml><?xml version="1.0" encoding="utf-8"?>
<calcChain xmlns="http://schemas.openxmlformats.org/spreadsheetml/2006/main">
  <c r="C4" i="6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7" i="6"/>
  <c r="B48" i="6"/>
  <c r="B49" i="6"/>
  <c r="B50" i="6"/>
  <c r="B51" i="6"/>
  <c r="B52" i="6"/>
  <c r="B53" i="6"/>
  <c r="B54" i="6"/>
  <c r="B55" i="6"/>
  <c r="B56" i="6"/>
  <c r="B2" i="6"/>
  <c r="B2" i="3"/>
  <c r="D2" i="3" s="1"/>
  <c r="C2" i="5"/>
  <c r="B5" i="5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2" i="4"/>
  <c r="J21" i="3"/>
  <c r="J17" i="3"/>
  <c r="J16" i="3"/>
  <c r="J20" i="3"/>
  <c r="J19" i="3"/>
  <c r="J18" i="3"/>
  <c r="J15" i="3"/>
  <c r="J14" i="3"/>
  <c r="J13" i="3"/>
  <c r="J12" i="3"/>
  <c r="J11" i="3"/>
  <c r="J10" i="3"/>
  <c r="J9" i="3"/>
  <c r="J7" i="3"/>
  <c r="J6" i="3"/>
  <c r="J5" i="3"/>
  <c r="D5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I19" i="3" l="1"/>
  <c r="B19" i="5" s="1"/>
  <c r="I15" i="3"/>
  <c r="I9" i="3"/>
  <c r="I6" i="3"/>
  <c r="I16" i="3" s="1"/>
  <c r="I20" i="3"/>
  <c r="I21" i="3" s="1"/>
  <c r="I18" i="3"/>
  <c r="I10" i="3"/>
  <c r="I5" i="3"/>
  <c r="I24" i="3"/>
  <c r="I23" i="3"/>
  <c r="I17" i="3" l="1"/>
  <c r="I7" i="3"/>
  <c r="I14" i="3"/>
  <c r="I13" i="3"/>
  <c r="I11" i="3"/>
  <c r="I12" i="3" s="1"/>
  <c r="B2" i="5"/>
  <c r="B20" i="5"/>
</calcChain>
</file>

<file path=xl/sharedStrings.xml><?xml version="1.0" encoding="utf-8"?>
<sst xmlns="http://schemas.openxmlformats.org/spreadsheetml/2006/main" count="488" uniqueCount="248">
  <si>
    <t>Mercedes-Benz Group AG (MBG.DE)</t>
  </si>
  <si>
    <t>Date</t>
  </si>
  <si>
    <t>Open</t>
  </si>
  <si>
    <t>High</t>
  </si>
  <si>
    <t>Low</t>
  </si>
  <si>
    <t>Close </t>
  </si>
  <si>
    <t>Adj Close </t>
  </si>
  <si>
    <t>Volume</t>
  </si>
  <si>
    <t>Mar 10, 2026</t>
  </si>
  <si>
    <t>Mar 9, 2026</t>
  </si>
  <si>
    <t>2,395,578</t>
  </si>
  <si>
    <t>Mar 2, 2026</t>
  </si>
  <si>
    <t>13,471,670</t>
  </si>
  <si>
    <t>Feb 23, 2026</t>
  </si>
  <si>
    <t>10,967,204</t>
  </si>
  <si>
    <t>Feb 16, 2026</t>
  </si>
  <si>
    <t>10,370,202</t>
  </si>
  <si>
    <t>Feb 9, 2026</t>
  </si>
  <si>
    <t>16,121,673</t>
  </si>
  <si>
    <t>Feb 2, 2026</t>
  </si>
  <si>
    <t>13,803,710</t>
  </si>
  <si>
    <t>Jan 26, 2026</t>
  </si>
  <si>
    <t>10,179,576</t>
  </si>
  <si>
    <t>Jan 19, 2026</t>
  </si>
  <si>
    <t>12,410,831</t>
  </si>
  <si>
    <t>Jan 12, 2026</t>
  </si>
  <si>
    <t>11,669,786</t>
  </si>
  <si>
    <t>Jan 5, 2026</t>
  </si>
  <si>
    <t>10,451,462</t>
  </si>
  <si>
    <t>Dec 29, 2025</t>
  </si>
  <si>
    <t>4,890,034</t>
  </si>
  <si>
    <t>Dec 22, 2025</t>
  </si>
  <si>
    <t>1,809,422</t>
  </si>
  <si>
    <t>Dec 15, 2025</t>
  </si>
  <si>
    <t>6,066,903</t>
  </si>
  <si>
    <t>Dec 8, 2025</t>
  </si>
  <si>
    <t>8,168,263</t>
  </si>
  <si>
    <t>Dec 1, 2025</t>
  </si>
  <si>
    <t>12,949,490</t>
  </si>
  <si>
    <t>Nov 24, 2025</t>
  </si>
  <si>
    <t>8,502,451</t>
  </si>
  <si>
    <t>Nov 17, 2025</t>
  </si>
  <si>
    <t>8,390,400</t>
  </si>
  <si>
    <t>Nov 10, 2025</t>
  </si>
  <si>
    <t>7,992,072</t>
  </si>
  <si>
    <t>Nov 3, 2025</t>
  </si>
  <si>
    <t>9,841,109</t>
  </si>
  <si>
    <t>Oct 27, 2025</t>
  </si>
  <si>
    <t>14,747,271</t>
  </si>
  <si>
    <t>Oct 20, 2025</t>
  </si>
  <si>
    <t>8,526,583</t>
  </si>
  <si>
    <t>Oct 13, 2025</t>
  </si>
  <si>
    <t>8,145,533</t>
  </si>
  <si>
    <t>Oct 6, 2025</t>
  </si>
  <si>
    <t>11,206,050</t>
  </si>
  <si>
    <t>Sep 29, 2025</t>
  </si>
  <si>
    <t>7,545,380</t>
  </si>
  <si>
    <t>Sep 22, 2025</t>
  </si>
  <si>
    <t>9,622,860</t>
  </si>
  <si>
    <t>Sep 15, 2025</t>
  </si>
  <si>
    <t>14,399,170</t>
  </si>
  <si>
    <t>Sep 8, 2025</t>
  </si>
  <si>
    <t>9,992,871</t>
  </si>
  <si>
    <t>Sep 1, 2025</t>
  </si>
  <si>
    <t>6,014,514</t>
  </si>
  <si>
    <t>Aug 25, 2025</t>
  </si>
  <si>
    <t>7,293,897</t>
  </si>
  <si>
    <t>Aug 18, 2025</t>
  </si>
  <si>
    <t>7,774,182</t>
  </si>
  <si>
    <t>Aug 11, 2025</t>
  </si>
  <si>
    <t>5,728,449</t>
  </si>
  <si>
    <t>Aug 4, 2025</t>
  </si>
  <si>
    <t>8,795,569</t>
  </si>
  <si>
    <t>Jul 28, 2025</t>
  </si>
  <si>
    <t>14,983,187</t>
  </si>
  <si>
    <t>Jul 21, 2025</t>
  </si>
  <si>
    <t>6,286,042</t>
  </si>
  <si>
    <t>Jul 14, 2025</t>
  </si>
  <si>
    <t>6,134,284</t>
  </si>
  <si>
    <t>Jul 7, 2025</t>
  </si>
  <si>
    <t>9,874,626</t>
  </si>
  <si>
    <t>Jun 30, 2025</t>
  </si>
  <si>
    <t>10,723,814</t>
  </si>
  <si>
    <t>Jun 23, 2025</t>
  </si>
  <si>
    <t>10,576,068</t>
  </si>
  <si>
    <t>Jun 16, 2025</t>
  </si>
  <si>
    <t>13,016,541</t>
  </si>
  <si>
    <t>Jun 9, 2025</t>
  </si>
  <si>
    <t>7,420,759</t>
  </si>
  <si>
    <t>Jun 2, 2025</t>
  </si>
  <si>
    <t>9,592,675</t>
  </si>
  <si>
    <t>May 26, 2025</t>
  </si>
  <si>
    <t>10,577,349</t>
  </si>
  <si>
    <t>May 19, 2025</t>
  </si>
  <si>
    <t>10,866,366</t>
  </si>
  <si>
    <t>May 12, 2025</t>
  </si>
  <si>
    <t>12,856,683</t>
  </si>
  <si>
    <t>May 8, 2025</t>
  </si>
  <si>
    <r>
      <t>4.3</t>
    </r>
    <r>
      <rPr>
        <sz val="8"/>
        <color rgb="FF232A31"/>
        <rFont val="Arial"/>
        <family val="2"/>
        <charset val="204"/>
      </rPr>
      <t> Dividend </t>
    </r>
  </si>
  <si>
    <t>May 5, 2025</t>
  </si>
  <si>
    <t>18,223,047</t>
  </si>
  <si>
    <t>Apr 28, 2025</t>
  </si>
  <si>
    <t>14,599,472</t>
  </si>
  <si>
    <t>Apr 21, 2025</t>
  </si>
  <si>
    <t>10,533,150</t>
  </si>
  <si>
    <t>Apr 14, 2025</t>
  </si>
  <si>
    <t>7,900,713</t>
  </si>
  <si>
    <t>Apr 7, 2025</t>
  </si>
  <si>
    <t>30,136,102</t>
  </si>
  <si>
    <t>Mar 31, 2025</t>
  </si>
  <si>
    <t>21,152,180</t>
  </si>
  <si>
    <t>Mar 24, 2025</t>
  </si>
  <si>
    <t>11,720,581</t>
  </si>
  <si>
    <t>Mar 17, 2025</t>
  </si>
  <si>
    <t>15,929,729</t>
  </si>
  <si>
    <t>Mar 10, 2025</t>
  </si>
  <si>
    <t>15,177,174</t>
  </si>
  <si>
    <t>https://finance.yahoo.com/quote/MBG.DE/history/?frequency=1wk</t>
  </si>
  <si>
    <t>Dec 2, 2025</t>
  </si>
  <si>
    <r>
      <t>6.05</t>
    </r>
    <r>
      <rPr>
        <sz val="8"/>
        <color rgb="FF232A31"/>
        <rFont val="Arial"/>
        <family val="2"/>
        <charset val="204"/>
      </rPr>
      <t> Dividend </t>
    </r>
  </si>
  <si>
    <t>Apr 24, 2025</t>
  </si>
  <si>
    <r>
      <t>7.5</t>
    </r>
    <r>
      <rPr>
        <sz val="8"/>
        <color rgb="FF232A31"/>
        <rFont val="Arial"/>
        <family val="2"/>
        <charset val="204"/>
      </rPr>
      <t> Dividend </t>
    </r>
  </si>
  <si>
    <t>https://finance.yahoo.com/quote/CDI.PA/history/?frequency=1wk</t>
  </si>
  <si>
    <t>Christian Dior SE (CDI.PA)</t>
  </si>
  <si>
    <t>MBG.DE</t>
  </si>
  <si>
    <t>CDI.PA</t>
  </si>
  <si>
    <t>Weekly return MBG.DE</t>
  </si>
  <si>
    <t>Weekly return CDI.PA</t>
  </si>
  <si>
    <t>Max</t>
  </si>
  <si>
    <t>MIn</t>
  </si>
  <si>
    <t>Range</t>
  </si>
  <si>
    <t>Q3</t>
  </si>
  <si>
    <t>Q1</t>
  </si>
  <si>
    <t>IQR</t>
  </si>
  <si>
    <t>Fence</t>
  </si>
  <si>
    <t>Upper Fence</t>
  </si>
  <si>
    <t>Lower fence</t>
  </si>
  <si>
    <t xml:space="preserve">Mean </t>
  </si>
  <si>
    <t>Z min</t>
  </si>
  <si>
    <t>Zmax</t>
  </si>
  <si>
    <t>Mean absolute deviation</t>
  </si>
  <si>
    <t>Sample Varience</t>
  </si>
  <si>
    <t>Sample Standard deviation</t>
  </si>
  <si>
    <t>CV</t>
  </si>
  <si>
    <t>Data Descriptions</t>
  </si>
  <si>
    <t>Covariance</t>
  </si>
  <si>
    <t>Correlation</t>
  </si>
  <si>
    <t>S&amp;P 500 (^GSPC)</t>
  </si>
  <si>
    <t>weekly return</t>
  </si>
  <si>
    <t>Mar 9 2026</t>
  </si>
  <si>
    <t>Mar 2 2026</t>
  </si>
  <si>
    <t>Feb 23 2026</t>
  </si>
  <si>
    <t>Feb 16 2026</t>
  </si>
  <si>
    <t>Feb 9 2026</t>
  </si>
  <si>
    <t>Feb 2 2026</t>
  </si>
  <si>
    <t>Jan 26 2026</t>
  </si>
  <si>
    <t>Jan 19 2026</t>
  </si>
  <si>
    <t>Jan 12 2026</t>
  </si>
  <si>
    <t>Jan 5 2026</t>
  </si>
  <si>
    <t>Dec 29 2025</t>
  </si>
  <si>
    <t>Dec 22 2025</t>
  </si>
  <si>
    <t>Dec 15 2025</t>
  </si>
  <si>
    <t>Dec 8 2025</t>
  </si>
  <si>
    <t>Dec 1 2025</t>
  </si>
  <si>
    <t>Nov 24 2025</t>
  </si>
  <si>
    <t>Nov 17 2025</t>
  </si>
  <si>
    <t>Nov 10 2025</t>
  </si>
  <si>
    <t>Nov 3 2025</t>
  </si>
  <si>
    <t>Oct 27 2025</t>
  </si>
  <si>
    <t>Oct 20 2025</t>
  </si>
  <si>
    <t>Oct 13 2025</t>
  </si>
  <si>
    <t>Oct 6 2025</t>
  </si>
  <si>
    <t>Sep 29 2025</t>
  </si>
  <si>
    <t>Sep 22 2025</t>
  </si>
  <si>
    <t>Sep 15 2025</t>
  </si>
  <si>
    <t>Sep 8 2025</t>
  </si>
  <si>
    <t>Sep 1 2025</t>
  </si>
  <si>
    <t>Aug 25 2025</t>
  </si>
  <si>
    <t>Aug 18 2025</t>
  </si>
  <si>
    <t>Aug 11 2025</t>
  </si>
  <si>
    <t>Aug 4 2025</t>
  </si>
  <si>
    <t>Jul 28 2025</t>
  </si>
  <si>
    <t>Jul 21 2025</t>
  </si>
  <si>
    <t>Jul 14 2025</t>
  </si>
  <si>
    <t>Jul 7 2025</t>
  </si>
  <si>
    <t>Jun 30 2025</t>
  </si>
  <si>
    <t>Jun 23 2025</t>
  </si>
  <si>
    <t>Jun 16 2025</t>
  </si>
  <si>
    <t>Jun 9 2025</t>
  </si>
  <si>
    <t>Jun 2 2025</t>
  </si>
  <si>
    <t>May 26 2025</t>
  </si>
  <si>
    <t>May 19 2025</t>
  </si>
  <si>
    <t>May 12 2025</t>
  </si>
  <si>
    <t>May 5 2025</t>
  </si>
  <si>
    <t>Apr 28 2025</t>
  </si>
  <si>
    <t>Apr 21 2025</t>
  </si>
  <si>
    <t>Apr 14 2025</t>
  </si>
  <si>
    <t>Apr 7 2025</t>
  </si>
  <si>
    <t>Mar 31 2025</t>
  </si>
  <si>
    <t>Mar 24 2025</t>
  </si>
  <si>
    <t>Mar 17 2025</t>
  </si>
  <si>
    <t>Mar 10 2025</t>
  </si>
  <si>
    <t>https://finance,yahoo,com/quote/%5EGSPC/history/?frequency=1wk</t>
  </si>
  <si>
    <t>Sharpe Ratio</t>
  </si>
  <si>
    <t>One year T.Bill</t>
  </si>
  <si>
    <t>One week T.Bill</t>
  </si>
  <si>
    <t>Comparison of risk (Variance)</t>
  </si>
  <si>
    <t>H0:</t>
  </si>
  <si>
    <t>HA:</t>
  </si>
  <si>
    <t>n</t>
  </si>
  <si>
    <t>df1</t>
  </si>
  <si>
    <t>df2</t>
  </si>
  <si>
    <t>F(df1, df2)</t>
  </si>
  <si>
    <t>F(53, 53)</t>
  </si>
  <si>
    <t xml:space="preserve">P </t>
  </si>
  <si>
    <t>Fails to reject H0 at 5% significane level</t>
  </si>
  <si>
    <t>Mercedes</t>
  </si>
  <si>
    <t>X</t>
  </si>
  <si>
    <t>Dior</t>
  </si>
  <si>
    <t>Y</t>
  </si>
  <si>
    <t>σ^2(Y)​=σ^2(X)​</t>
  </si>
  <si>
    <t>σ^2(Y) &gt;​σ^2(X)​</t>
  </si>
  <si>
    <t>S(Y)/S(X)</t>
  </si>
  <si>
    <t>S&amp;P 500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</si>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</sst>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"/>
      <scheme val="minor"/>
    </font>
    <font>
      <b/>
      <sz val="14"/>
      <color rgb="FF232A31"/>
      <name val="Arial"/>
      <family val="2"/>
      <charset val="204"/>
    </font>
    <font>
      <sz val="7"/>
      <color rgb="FF232A31"/>
      <name val="Arial"/>
      <family val="2"/>
      <charset val="204"/>
    </font>
    <font>
      <sz val="8"/>
      <color rgb="FF232A31"/>
      <name val="Arial"/>
      <family val="2"/>
      <charset val="204"/>
    </font>
    <font>
      <b/>
      <sz val="8"/>
      <color rgb="FF232A31"/>
      <name val="Arial"/>
      <family val="2"/>
      <charset val="204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rgb="FFFF9900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CCCCCC"/>
      </left>
      <right/>
      <top style="thick">
        <color rgb="FFCCCCCC"/>
      </top>
      <bottom/>
      <diagonal/>
    </border>
    <border>
      <left/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/>
      <top/>
      <bottom/>
      <diagonal/>
    </border>
    <border>
      <left/>
      <right style="thick">
        <color rgb="FFCCCCCC"/>
      </right>
      <top/>
      <bottom/>
      <diagonal/>
    </border>
    <border>
      <left style="thick">
        <color rgb="FFCCCCCC"/>
      </left>
      <right/>
      <top/>
      <bottom style="thick">
        <color rgb="FFCCCCCC"/>
      </bottom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58">
    <xf numFmtId="0" fontId="0" fillId="0" borderId="0" xfId="0"/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2" xfId="0" applyFont="1" applyBorder="1" applyAlignment="1"/>
    <xf numFmtId="0" fontId="8" fillId="0" borderId="2" xfId="0" applyFont="1" applyBorder="1"/>
    <xf numFmtId="0" fontId="2" fillId="2" borderId="1" xfId="2"/>
    <xf numFmtId="0" fontId="2" fillId="2" borderId="1" xfId="2" applyAlignment="1"/>
    <xf numFmtId="2" fontId="0" fillId="0" borderId="0" xfId="0" applyNumberFormat="1"/>
    <xf numFmtId="2" fontId="4" fillId="3" borderId="0" xfId="0" applyNumberFormat="1" applyFont="1" applyFill="1" applyAlignment="1">
      <alignment horizontal="right" vertical="center"/>
    </xf>
    <xf numFmtId="2" fontId="4" fillId="6" borderId="0" xfId="0" applyNumberFormat="1" applyFont="1" applyFill="1" applyAlignment="1">
      <alignment horizontal="right" vertical="center"/>
    </xf>
    <xf numFmtId="2" fontId="5" fillId="4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2" fontId="5" fillId="3" borderId="0" xfId="0" applyNumberFormat="1" applyFont="1" applyFill="1" applyAlignment="1">
      <alignment horizontal="right" vertical="center"/>
    </xf>
    <xf numFmtId="2" fontId="5" fillId="5" borderId="0" xfId="0" applyNumberFormat="1" applyFont="1" applyFill="1" applyAlignment="1">
      <alignment horizontal="right" vertical="center"/>
    </xf>
    <xf numFmtId="2" fontId="0" fillId="6" borderId="0" xfId="0" applyNumberFormat="1" applyFill="1"/>
    <xf numFmtId="10" fontId="0" fillId="6" borderId="0" xfId="1" applyNumberFormat="1" applyFont="1" applyFill="1"/>
    <xf numFmtId="1" fontId="4" fillId="3" borderId="0" xfId="0" applyNumberFormat="1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  <xf numFmtId="1" fontId="0" fillId="0" borderId="0" xfId="0" applyNumberFormat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9" fontId="8" fillId="0" borderId="0" xfId="0" applyNumberFormat="1" applyFont="1"/>
    <xf numFmtId="9" fontId="8" fillId="0" borderId="6" xfId="0" applyNumberFormat="1" applyFont="1" applyBorder="1"/>
    <xf numFmtId="0" fontId="0" fillId="0" borderId="0" xfId="0" applyFont="1" applyAlignment="1"/>
    <xf numFmtId="0" fontId="8" fillId="0" borderId="6" xfId="0" applyFont="1" applyBorder="1"/>
    <xf numFmtId="10" fontId="9" fillId="0" borderId="0" xfId="0" applyNumberFormat="1" applyFont="1" applyAlignment="1"/>
    <xf numFmtId="10" fontId="8" fillId="0" borderId="0" xfId="0" applyNumberFormat="1" applyFont="1"/>
    <xf numFmtId="0" fontId="12" fillId="0" borderId="9" xfId="0" applyFont="1" applyBorder="1" applyAlignment="1"/>
    <xf numFmtId="0" fontId="12" fillId="0" borderId="10" xfId="0" applyFont="1" applyBorder="1" applyAlignment="1">
      <alignment horizontal="center"/>
    </xf>
    <xf numFmtId="0" fontId="9" fillId="7" borderId="0" xfId="0" applyFont="1" applyFill="1" applyAlignment="1"/>
    <xf numFmtId="0" fontId="13" fillId="0" borderId="9" xfId="0" applyFont="1" applyBorder="1" applyAlignment="1"/>
    <xf numFmtId="0" fontId="13" fillId="0" borderId="10" xfId="0" applyFont="1" applyBorder="1" applyAlignment="1"/>
    <xf numFmtId="0" fontId="12" fillId="0" borderId="10" xfId="0" applyFont="1" applyBorder="1" applyAlignment="1">
      <alignment horizontal="right"/>
    </xf>
    <xf numFmtId="4" fontId="12" fillId="0" borderId="10" xfId="0" applyNumberFormat="1" applyFont="1" applyBorder="1" applyAlignment="1">
      <alignment horizontal="right"/>
    </xf>
    <xf numFmtId="164" fontId="12" fillId="10" borderId="10" xfId="0" applyNumberFormat="1" applyFont="1" applyFill="1" applyBorder="1" applyAlignment="1">
      <alignment horizontal="right"/>
    </xf>
    <xf numFmtId="14" fontId="4" fillId="3" borderId="0" xfId="0" applyNumberFormat="1" applyFont="1" applyFill="1" applyAlignment="1">
      <alignment horizontal="left" vertical="center"/>
    </xf>
    <xf numFmtId="14" fontId="0" fillId="0" borderId="0" xfId="0" applyNumberFormat="1"/>
    <xf numFmtId="165" fontId="4" fillId="3" borderId="0" xfId="0" applyNumberFormat="1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165" fontId="0" fillId="0" borderId="0" xfId="0" applyNumberFormat="1"/>
    <xf numFmtId="2" fontId="0" fillId="0" borderId="0" xfId="1" applyNumberFormat="1" applyFont="1"/>
    <xf numFmtId="0" fontId="0" fillId="0" borderId="0" xfId="0" applyFill="1" applyBorder="1" applyAlignment="1"/>
    <xf numFmtId="0" fontId="0" fillId="0" borderId="13" xfId="0" applyFill="1" applyBorder="1" applyAlignment="1"/>
    <xf numFmtId="0" fontId="14" fillId="0" borderId="14" xfId="0" applyFont="1" applyFill="1" applyBorder="1" applyAlignment="1">
      <alignment horizontal="center"/>
    </xf>
    <xf numFmtId="0" fontId="14" fillId="0" borderId="14" xfId="0" applyFont="1" applyFill="1" applyBorder="1" applyAlignment="1">
      <alignment horizontal="centerContinuous"/>
    </xf>
    <xf numFmtId="2" fontId="6" fillId="3" borderId="0" xfId="0" applyNumberFormat="1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0" fontId="10" fillId="11" borderId="7" xfId="0" applyFont="1" applyFill="1" applyBorder="1" applyAlignment="1">
      <alignment horizontal="center"/>
    </xf>
    <xf numFmtId="0" fontId="11" fillId="12" borderId="8" xfId="0" applyFont="1" applyFill="1" applyBorder="1"/>
    <xf numFmtId="0" fontId="13" fillId="8" borderId="11" xfId="0" applyFont="1" applyFill="1" applyBorder="1" applyAlignment="1">
      <alignment horizontal="center"/>
    </xf>
    <xf numFmtId="0" fontId="11" fillId="9" borderId="12" xfId="0" applyFont="1" applyFill="1" applyBorder="1"/>
  </cellXfs>
  <cellStyles count="3">
    <cellStyle name="Вывод" xfId="2" builtinId="21"/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Combine!$B$1:$B$47</c:f>
              <c:strCache>
                <c:ptCount val="1"/>
                <c:pt idx="0">
                  <c:v>MBG.DE 55,44 54,25 54,78 59,00 59,24 57,62 58,78 57,79 58,30 58,82 60,37 61,93 59,30 59,84 61,69 61,60 58,16 57,02 59,56 58,19 56,21 53,75 53,37 53,20 55,41 53,32 51,48 51,69 52,92 53,35 55,14 53,51 52,12 49,10 55,49 51,33 53,11 50,08 50,49 48,63 50,82 51</c:v>
                </c:pt>
              </c:strCache>
            </c:strRef>
          </c:tx>
          <c:cat>
            <c:strRef>
              <c:f>Combine!$A$48:$A$56</c:f>
              <c:strCache>
                <c:ptCount val="9"/>
                <c:pt idx="0">
                  <c:v>May 5, 2025</c:v>
                </c:pt>
                <c:pt idx="1">
                  <c:v>Apr 28, 2025</c:v>
                </c:pt>
                <c:pt idx="2">
                  <c:v>Apr 21, 2025</c:v>
                </c:pt>
                <c:pt idx="3">
                  <c:v>Apr 14, 2025</c:v>
                </c:pt>
                <c:pt idx="4">
                  <c:v>Apr 7, 2025</c:v>
                </c:pt>
                <c:pt idx="5">
                  <c:v>Mar 31, 2025</c:v>
                </c:pt>
                <c:pt idx="6">
                  <c:v>Mar 24, 2025</c:v>
                </c:pt>
                <c:pt idx="7">
                  <c:v>Mar 17, 2025</c:v>
                </c:pt>
                <c:pt idx="8">
                  <c:v>Mar 10, 2025</c:v>
                </c:pt>
              </c:strCache>
            </c:strRef>
          </c:cat>
          <c:val>
            <c:numRef>
              <c:f>Combine!$B$48:$B$56</c:f>
              <c:numCache>
                <c:formatCode>0.00</c:formatCode>
                <c:ptCount val="9"/>
                <c:pt idx="0">
                  <c:v>47</c:v>
                </c:pt>
                <c:pt idx="1">
                  <c:v>49.05</c:v>
                </c:pt>
                <c:pt idx="2">
                  <c:v>50.24</c:v>
                </c:pt>
                <c:pt idx="3">
                  <c:v>46.23</c:v>
                </c:pt>
                <c:pt idx="4">
                  <c:v>44.36</c:v>
                </c:pt>
                <c:pt idx="5">
                  <c:v>45.16</c:v>
                </c:pt>
                <c:pt idx="6">
                  <c:v>51.31</c:v>
                </c:pt>
                <c:pt idx="7">
                  <c:v>53.71</c:v>
                </c:pt>
                <c:pt idx="8">
                  <c:v>55.19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Combine!$C$1:$C$47</c:f>
              <c:strCache>
                <c:ptCount val="1"/>
                <c:pt idx="0">
                  <c:v>CDI.PA 484,60 473,80 478,40 517,00 526,00 492,00 505,00 512,00 549,50 566,00 607,50 601,50 581,50 587,00 580,50 581,08 583,56 575,14 591,48 557,32 561,78 564,25 554,35 506,34 518,72 481,30 481,10 466,84 467,24 477,14 468,23 451,01 443,68 435,96 461,70 444</c:v>
                </c:pt>
              </c:strCache>
            </c:strRef>
          </c:tx>
          <c:cat>
            <c:strRef>
              <c:f>Combine!$A$48:$A$56</c:f>
              <c:strCache>
                <c:ptCount val="9"/>
                <c:pt idx="0">
                  <c:v>May 5, 2025</c:v>
                </c:pt>
                <c:pt idx="1">
                  <c:v>Apr 28, 2025</c:v>
                </c:pt>
                <c:pt idx="2">
                  <c:v>Apr 21, 2025</c:v>
                </c:pt>
                <c:pt idx="3">
                  <c:v>Apr 14, 2025</c:v>
                </c:pt>
                <c:pt idx="4">
                  <c:v>Apr 7, 2025</c:v>
                </c:pt>
                <c:pt idx="5">
                  <c:v>Mar 31, 2025</c:v>
                </c:pt>
                <c:pt idx="6">
                  <c:v>Mar 24, 2025</c:v>
                </c:pt>
                <c:pt idx="7">
                  <c:v>Mar 17, 2025</c:v>
                </c:pt>
                <c:pt idx="8">
                  <c:v>Mar 10, 2025</c:v>
                </c:pt>
              </c:strCache>
            </c:strRef>
          </c:cat>
          <c:val>
            <c:numRef>
              <c:f>Combine!$C$48:$C$56</c:f>
              <c:numCache>
                <c:formatCode>0.00</c:formatCode>
                <c:ptCount val="9"/>
                <c:pt idx="0">
                  <c:v>454.77</c:v>
                </c:pt>
                <c:pt idx="1">
                  <c:v>456.95</c:v>
                </c:pt>
                <c:pt idx="2">
                  <c:v>448.02</c:v>
                </c:pt>
                <c:pt idx="3">
                  <c:v>432.83</c:v>
                </c:pt>
                <c:pt idx="4">
                  <c:v>467.31</c:v>
                </c:pt>
                <c:pt idx="5">
                  <c:v>475.68</c:v>
                </c:pt>
                <c:pt idx="6">
                  <c:v>527.4</c:v>
                </c:pt>
                <c:pt idx="7">
                  <c:v>542.5</c:v>
                </c:pt>
                <c:pt idx="8">
                  <c:v>544.92999999999995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08352"/>
        <c:axId val="148714240"/>
      </c:lineChart>
      <c:catAx>
        <c:axId val="148708352"/>
        <c:scaling>
          <c:orientation val="minMax"/>
        </c:scaling>
        <c:delete val="0"/>
        <c:axPos val="b"/>
        <c:majorTickMark val="out"/>
        <c:minorTickMark val="none"/>
        <c:tickLblPos val="nextTo"/>
        <c:crossAx val="148714240"/>
        <c:crosses val="autoZero"/>
        <c:auto val="1"/>
        <c:lblAlgn val="ctr"/>
        <c:lblOffset val="100"/>
        <c:noMultiLvlLbl val="0"/>
      </c:catAx>
      <c:valAx>
        <c:axId val="1487142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8708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472440</xdr:colOff>
      <xdr:row>5</xdr:row>
      <xdr:rowOff>64770</xdr:rowOff>
    </xdr:from>
    <xdr:to>
      <xdr:col>18</xdr:col>
      <xdr:colOff>167640</xdr:colOff>
      <xdr:row>20</xdr:row>
      <xdr:rowOff>64770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activeCell="D29" sqref="D29"/>
    </sheetView>
  </sheetViews>
  <sheetFormatPr defaultRowHeight="14.4" x14ac:dyDescent="0.3"/>
  <cols>
    <col min="1" max="1" width="11.33203125" customWidth="1"/>
    <col min="2" max="5" width="8.88671875" style="11"/>
    <col min="6" max="6" width="8.88671875" style="18"/>
    <col min="7" max="7" width="8.88671875" style="11"/>
  </cols>
  <sheetData>
    <row r="1" spans="1:9" x14ac:dyDescent="0.3">
      <c r="A1" s="1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3" t="s">
        <v>6</v>
      </c>
      <c r="G1" s="12" t="s">
        <v>7</v>
      </c>
    </row>
    <row r="2" spans="1:9" x14ac:dyDescent="0.3">
      <c r="A2" s="2" t="s">
        <v>8</v>
      </c>
      <c r="B2" s="14">
        <v>55.38</v>
      </c>
      <c r="C2" s="14">
        <v>55.84</v>
      </c>
      <c r="D2" s="14">
        <v>55.11</v>
      </c>
      <c r="E2" s="14">
        <v>55.44</v>
      </c>
      <c r="F2" s="15">
        <v>55.44</v>
      </c>
      <c r="G2" s="14">
        <v>566.49599999999998</v>
      </c>
    </row>
    <row r="3" spans="1:9" x14ac:dyDescent="0.3">
      <c r="A3" s="3" t="s">
        <v>9</v>
      </c>
      <c r="B3" s="16">
        <v>54.5</v>
      </c>
      <c r="C3" s="16">
        <v>54.86</v>
      </c>
      <c r="D3" s="16">
        <v>53.54</v>
      </c>
      <c r="E3" s="16">
        <v>54.25</v>
      </c>
      <c r="F3" s="15">
        <v>54.25</v>
      </c>
      <c r="G3" s="16" t="s">
        <v>10</v>
      </c>
    </row>
    <row r="4" spans="1:9" x14ac:dyDescent="0.3">
      <c r="A4" s="2" t="s">
        <v>11</v>
      </c>
      <c r="B4" s="14">
        <v>57</v>
      </c>
      <c r="C4" s="14">
        <v>57.9</v>
      </c>
      <c r="D4" s="14">
        <v>54.23</v>
      </c>
      <c r="E4" s="14">
        <v>54.78</v>
      </c>
      <c r="F4" s="15">
        <v>54.78</v>
      </c>
      <c r="G4" s="14" t="s">
        <v>12</v>
      </c>
      <c r="I4" t="s">
        <v>117</v>
      </c>
    </row>
    <row r="5" spans="1:9" x14ac:dyDescent="0.3">
      <c r="A5" s="3" t="s">
        <v>13</v>
      </c>
      <c r="B5" s="16">
        <v>59.27</v>
      </c>
      <c r="C5" s="16">
        <v>59.51</v>
      </c>
      <c r="D5" s="16">
        <v>58.21</v>
      </c>
      <c r="E5" s="16">
        <v>59</v>
      </c>
      <c r="F5" s="15">
        <v>59</v>
      </c>
      <c r="G5" s="16" t="s">
        <v>14</v>
      </c>
    </row>
    <row r="6" spans="1:9" ht="18" x14ac:dyDescent="0.3">
      <c r="A6" s="2" t="s">
        <v>15</v>
      </c>
      <c r="B6" s="14">
        <v>57.4</v>
      </c>
      <c r="C6" s="14">
        <v>60.03</v>
      </c>
      <c r="D6" s="14">
        <v>57.19</v>
      </c>
      <c r="E6" s="14">
        <v>59.24</v>
      </c>
      <c r="F6" s="15">
        <v>59.24</v>
      </c>
      <c r="G6" s="14" t="s">
        <v>16</v>
      </c>
      <c r="I6" s="5" t="s">
        <v>0</v>
      </c>
    </row>
    <row r="7" spans="1:9" x14ac:dyDescent="0.3">
      <c r="A7" s="3" t="s">
        <v>17</v>
      </c>
      <c r="B7" s="16">
        <v>58.71</v>
      </c>
      <c r="C7" s="16">
        <v>59.5</v>
      </c>
      <c r="D7" s="16">
        <v>54.65</v>
      </c>
      <c r="E7" s="16">
        <v>57.62</v>
      </c>
      <c r="F7" s="15">
        <v>57.62</v>
      </c>
      <c r="G7" s="16" t="s">
        <v>18</v>
      </c>
    </row>
    <row r="8" spans="1:9" x14ac:dyDescent="0.3">
      <c r="A8" s="2" t="s">
        <v>19</v>
      </c>
      <c r="B8" s="14">
        <v>57.6</v>
      </c>
      <c r="C8" s="14">
        <v>61.3</v>
      </c>
      <c r="D8" s="14">
        <v>57.45</v>
      </c>
      <c r="E8" s="14">
        <v>58.78</v>
      </c>
      <c r="F8" s="15">
        <v>58.78</v>
      </c>
      <c r="G8" s="14" t="s">
        <v>20</v>
      </c>
    </row>
    <row r="9" spans="1:9" x14ac:dyDescent="0.3">
      <c r="A9" s="3" t="s">
        <v>21</v>
      </c>
      <c r="B9" s="16">
        <v>58.1</v>
      </c>
      <c r="C9" s="16">
        <v>58.89</v>
      </c>
      <c r="D9" s="16">
        <v>55.95</v>
      </c>
      <c r="E9" s="16">
        <v>57.79</v>
      </c>
      <c r="F9" s="15">
        <v>57.79</v>
      </c>
      <c r="G9" s="16" t="s">
        <v>22</v>
      </c>
    </row>
    <row r="10" spans="1:9" x14ac:dyDescent="0.3">
      <c r="A10" s="2" t="s">
        <v>23</v>
      </c>
      <c r="B10" s="14">
        <v>56.37</v>
      </c>
      <c r="C10" s="14">
        <v>60.11</v>
      </c>
      <c r="D10" s="14">
        <v>54.89</v>
      </c>
      <c r="E10" s="14">
        <v>58.3</v>
      </c>
      <c r="F10" s="15">
        <v>58.3</v>
      </c>
      <c r="G10" s="14" t="s">
        <v>24</v>
      </c>
    </row>
    <row r="11" spans="1:9" x14ac:dyDescent="0.3">
      <c r="A11" s="3" t="s">
        <v>25</v>
      </c>
      <c r="B11" s="16">
        <v>60.18</v>
      </c>
      <c r="C11" s="16">
        <v>61.12</v>
      </c>
      <c r="D11" s="16">
        <v>58.19</v>
      </c>
      <c r="E11" s="16">
        <v>58.82</v>
      </c>
      <c r="F11" s="15">
        <v>58.82</v>
      </c>
      <c r="G11" s="16" t="s">
        <v>26</v>
      </c>
    </row>
    <row r="12" spans="1:9" x14ac:dyDescent="0.3">
      <c r="A12" s="2" t="s">
        <v>27</v>
      </c>
      <c r="B12" s="14">
        <v>61.6</v>
      </c>
      <c r="C12" s="14">
        <v>62.34</v>
      </c>
      <c r="D12" s="14">
        <v>58.79</v>
      </c>
      <c r="E12" s="14">
        <v>60.37</v>
      </c>
      <c r="F12" s="15">
        <v>60.37</v>
      </c>
      <c r="G12" s="14" t="s">
        <v>28</v>
      </c>
    </row>
    <row r="13" spans="1:9" x14ac:dyDescent="0.3">
      <c r="A13" s="3" t="s">
        <v>29</v>
      </c>
      <c r="B13" s="16">
        <v>59.25</v>
      </c>
      <c r="C13" s="16">
        <v>62.03</v>
      </c>
      <c r="D13" s="16">
        <v>59.25</v>
      </c>
      <c r="E13" s="16">
        <v>61.93</v>
      </c>
      <c r="F13" s="15">
        <v>61.93</v>
      </c>
      <c r="G13" s="16" t="s">
        <v>30</v>
      </c>
    </row>
    <row r="14" spans="1:9" x14ac:dyDescent="0.3">
      <c r="A14" s="2" t="s">
        <v>31</v>
      </c>
      <c r="B14" s="14">
        <v>60.13</v>
      </c>
      <c r="C14" s="14">
        <v>60.17</v>
      </c>
      <c r="D14" s="14">
        <v>59.11</v>
      </c>
      <c r="E14" s="14">
        <v>59.3</v>
      </c>
      <c r="F14" s="15">
        <v>59.3</v>
      </c>
      <c r="G14" s="14" t="s">
        <v>32</v>
      </c>
    </row>
    <row r="15" spans="1:9" x14ac:dyDescent="0.3">
      <c r="A15" s="3" t="s">
        <v>33</v>
      </c>
      <c r="B15" s="16">
        <v>61.69</v>
      </c>
      <c r="C15" s="16">
        <v>61.78</v>
      </c>
      <c r="D15" s="16">
        <v>59.46</v>
      </c>
      <c r="E15" s="16">
        <v>59.84</v>
      </c>
      <c r="F15" s="15">
        <v>59.84</v>
      </c>
      <c r="G15" s="16" t="s">
        <v>34</v>
      </c>
    </row>
    <row r="16" spans="1:9" x14ac:dyDescent="0.3">
      <c r="A16" s="2" t="s">
        <v>35</v>
      </c>
      <c r="B16" s="14">
        <v>61.31</v>
      </c>
      <c r="C16" s="14">
        <v>62.03</v>
      </c>
      <c r="D16" s="14">
        <v>59.82</v>
      </c>
      <c r="E16" s="14">
        <v>61.69</v>
      </c>
      <c r="F16" s="15">
        <v>61.69</v>
      </c>
      <c r="G16" s="14" t="s">
        <v>36</v>
      </c>
    </row>
    <row r="17" spans="1:7" x14ac:dyDescent="0.3">
      <c r="A17" s="3" t="s">
        <v>37</v>
      </c>
      <c r="B17" s="16">
        <v>58.2</v>
      </c>
      <c r="C17" s="16">
        <v>61.68</v>
      </c>
      <c r="D17" s="16">
        <v>56.88</v>
      </c>
      <c r="E17" s="16">
        <v>61.6</v>
      </c>
      <c r="F17" s="15">
        <v>61.6</v>
      </c>
      <c r="G17" s="16" t="s">
        <v>38</v>
      </c>
    </row>
    <row r="18" spans="1:7" x14ac:dyDescent="0.3">
      <c r="A18" s="2" t="s">
        <v>39</v>
      </c>
      <c r="B18" s="14">
        <v>58.09</v>
      </c>
      <c r="C18" s="14">
        <v>58.48</v>
      </c>
      <c r="D18" s="14">
        <v>56.94</v>
      </c>
      <c r="E18" s="14">
        <v>58.16</v>
      </c>
      <c r="F18" s="15">
        <v>58.16</v>
      </c>
      <c r="G18" s="14" t="s">
        <v>40</v>
      </c>
    </row>
    <row r="19" spans="1:7" x14ac:dyDescent="0.3">
      <c r="A19" s="3" t="s">
        <v>41</v>
      </c>
      <c r="B19" s="16">
        <v>59.33</v>
      </c>
      <c r="C19" s="16">
        <v>59.68</v>
      </c>
      <c r="D19" s="16">
        <v>55.97</v>
      </c>
      <c r="E19" s="16">
        <v>57.02</v>
      </c>
      <c r="F19" s="15">
        <v>57.02</v>
      </c>
      <c r="G19" s="16" t="s">
        <v>42</v>
      </c>
    </row>
    <row r="20" spans="1:7" x14ac:dyDescent="0.3">
      <c r="A20" s="2" t="s">
        <v>43</v>
      </c>
      <c r="B20" s="14">
        <v>58.94</v>
      </c>
      <c r="C20" s="14">
        <v>60</v>
      </c>
      <c r="D20" s="14">
        <v>57.85</v>
      </c>
      <c r="E20" s="14">
        <v>59.56</v>
      </c>
      <c r="F20" s="15">
        <v>59.56</v>
      </c>
      <c r="G20" s="14" t="s">
        <v>44</v>
      </c>
    </row>
    <row r="21" spans="1:7" x14ac:dyDescent="0.3">
      <c r="A21" s="3" t="s">
        <v>45</v>
      </c>
      <c r="B21" s="16">
        <v>56.4</v>
      </c>
      <c r="C21" s="16">
        <v>58.8</v>
      </c>
      <c r="D21" s="16">
        <v>55.65</v>
      </c>
      <c r="E21" s="16">
        <v>58.19</v>
      </c>
      <c r="F21" s="15">
        <v>58.19</v>
      </c>
      <c r="G21" s="16" t="s">
        <v>46</v>
      </c>
    </row>
    <row r="22" spans="1:7" x14ac:dyDescent="0.3">
      <c r="A22" s="2" t="s">
        <v>47</v>
      </c>
      <c r="B22" s="14">
        <v>53.79</v>
      </c>
      <c r="C22" s="14">
        <v>58.95</v>
      </c>
      <c r="D22" s="14">
        <v>53.46</v>
      </c>
      <c r="E22" s="14">
        <v>56.21</v>
      </c>
      <c r="F22" s="15">
        <v>56.21</v>
      </c>
      <c r="G22" s="14" t="s">
        <v>48</v>
      </c>
    </row>
    <row r="23" spans="1:7" x14ac:dyDescent="0.3">
      <c r="A23" s="3" t="s">
        <v>49</v>
      </c>
      <c r="B23" s="16">
        <v>53.17</v>
      </c>
      <c r="C23" s="16">
        <v>54.56</v>
      </c>
      <c r="D23" s="16">
        <v>52.07</v>
      </c>
      <c r="E23" s="16">
        <v>53.75</v>
      </c>
      <c r="F23" s="15">
        <v>53.75</v>
      </c>
      <c r="G23" s="16" t="s">
        <v>50</v>
      </c>
    </row>
    <row r="24" spans="1:7" x14ac:dyDescent="0.3">
      <c r="A24" s="2" t="s">
        <v>51</v>
      </c>
      <c r="B24" s="14">
        <v>53.69</v>
      </c>
      <c r="C24" s="14">
        <v>53.92</v>
      </c>
      <c r="D24" s="14">
        <v>51.78</v>
      </c>
      <c r="E24" s="14">
        <v>53.37</v>
      </c>
      <c r="F24" s="15">
        <v>53.37</v>
      </c>
      <c r="G24" s="14" t="s">
        <v>52</v>
      </c>
    </row>
    <row r="25" spans="1:7" x14ac:dyDescent="0.3">
      <c r="A25" s="3" t="s">
        <v>53</v>
      </c>
      <c r="B25" s="16">
        <v>55.41</v>
      </c>
      <c r="C25" s="16">
        <v>55.89</v>
      </c>
      <c r="D25" s="16">
        <v>52.78</v>
      </c>
      <c r="E25" s="16">
        <v>53.2</v>
      </c>
      <c r="F25" s="15">
        <v>53.2</v>
      </c>
      <c r="G25" s="16" t="s">
        <v>54</v>
      </c>
    </row>
    <row r="26" spans="1:7" x14ac:dyDescent="0.3">
      <c r="A26" s="2" t="s">
        <v>55</v>
      </c>
      <c r="B26" s="14">
        <v>53.35</v>
      </c>
      <c r="C26" s="14">
        <v>55.58</v>
      </c>
      <c r="D26" s="14">
        <v>53.05</v>
      </c>
      <c r="E26" s="14">
        <v>55.41</v>
      </c>
      <c r="F26" s="15">
        <v>55.41</v>
      </c>
      <c r="G26" s="14" t="s">
        <v>56</v>
      </c>
    </row>
    <row r="27" spans="1:7" x14ac:dyDescent="0.3">
      <c r="A27" s="3" t="s">
        <v>57</v>
      </c>
      <c r="B27" s="16">
        <v>51.48</v>
      </c>
      <c r="C27" s="16">
        <v>53.65</v>
      </c>
      <c r="D27" s="16">
        <v>50.39</v>
      </c>
      <c r="E27" s="16">
        <v>53.32</v>
      </c>
      <c r="F27" s="15">
        <v>53.32</v>
      </c>
      <c r="G27" s="16" t="s">
        <v>58</v>
      </c>
    </row>
    <row r="28" spans="1:7" x14ac:dyDescent="0.3">
      <c r="A28" s="2" t="s">
        <v>59</v>
      </c>
      <c r="B28" s="14">
        <v>51.91</v>
      </c>
      <c r="C28" s="14">
        <v>52.31</v>
      </c>
      <c r="D28" s="14">
        <v>50.39</v>
      </c>
      <c r="E28" s="14">
        <v>51.48</v>
      </c>
      <c r="F28" s="15">
        <v>51.48</v>
      </c>
      <c r="G28" s="14" t="s">
        <v>60</v>
      </c>
    </row>
    <row r="29" spans="1:7" x14ac:dyDescent="0.3">
      <c r="A29" s="3" t="s">
        <v>61</v>
      </c>
      <c r="B29" s="16">
        <v>53</v>
      </c>
      <c r="C29" s="16">
        <v>53.49</v>
      </c>
      <c r="D29" s="16">
        <v>50.63</v>
      </c>
      <c r="E29" s="16">
        <v>51.69</v>
      </c>
      <c r="F29" s="15">
        <v>51.69</v>
      </c>
      <c r="G29" s="16" t="s">
        <v>62</v>
      </c>
    </row>
    <row r="30" spans="1:7" x14ac:dyDescent="0.3">
      <c r="A30" s="2" t="s">
        <v>63</v>
      </c>
      <c r="B30" s="14">
        <v>53.58</v>
      </c>
      <c r="C30" s="14">
        <v>53.95</v>
      </c>
      <c r="D30" s="14">
        <v>52.82</v>
      </c>
      <c r="E30" s="14">
        <v>52.92</v>
      </c>
      <c r="F30" s="15">
        <v>52.92</v>
      </c>
      <c r="G30" s="14" t="s">
        <v>64</v>
      </c>
    </row>
    <row r="31" spans="1:7" x14ac:dyDescent="0.3">
      <c r="A31" s="3" t="s">
        <v>65</v>
      </c>
      <c r="B31" s="16">
        <v>55</v>
      </c>
      <c r="C31" s="16">
        <v>55.1</v>
      </c>
      <c r="D31" s="16">
        <v>52.9</v>
      </c>
      <c r="E31" s="16">
        <v>53.35</v>
      </c>
      <c r="F31" s="15">
        <v>53.35</v>
      </c>
      <c r="G31" s="16" t="s">
        <v>66</v>
      </c>
    </row>
    <row r="32" spans="1:7" x14ac:dyDescent="0.3">
      <c r="A32" s="2" t="s">
        <v>67</v>
      </c>
      <c r="B32" s="14">
        <v>53.22</v>
      </c>
      <c r="C32" s="14">
        <v>55.37</v>
      </c>
      <c r="D32" s="14">
        <v>52.54</v>
      </c>
      <c r="E32" s="14">
        <v>55.14</v>
      </c>
      <c r="F32" s="15">
        <v>55.14</v>
      </c>
      <c r="G32" s="14" t="s">
        <v>68</v>
      </c>
    </row>
    <row r="33" spans="1:7" x14ac:dyDescent="0.3">
      <c r="A33" s="3" t="s">
        <v>69</v>
      </c>
      <c r="B33" s="16">
        <v>52.41</v>
      </c>
      <c r="C33" s="16">
        <v>54.26</v>
      </c>
      <c r="D33" s="16">
        <v>51.53</v>
      </c>
      <c r="E33" s="16">
        <v>53.51</v>
      </c>
      <c r="F33" s="15">
        <v>53.51</v>
      </c>
      <c r="G33" s="16" t="s">
        <v>70</v>
      </c>
    </row>
    <row r="34" spans="1:7" x14ac:dyDescent="0.3">
      <c r="A34" s="2" t="s">
        <v>71</v>
      </c>
      <c r="B34" s="14">
        <v>49.15</v>
      </c>
      <c r="C34" s="14">
        <v>52.38</v>
      </c>
      <c r="D34" s="14">
        <v>48.69</v>
      </c>
      <c r="E34" s="14">
        <v>52.12</v>
      </c>
      <c r="F34" s="15">
        <v>52.12</v>
      </c>
      <c r="G34" s="14" t="s">
        <v>72</v>
      </c>
    </row>
    <row r="35" spans="1:7" x14ac:dyDescent="0.3">
      <c r="A35" s="3" t="s">
        <v>73</v>
      </c>
      <c r="B35" s="16">
        <v>56.68</v>
      </c>
      <c r="C35" s="16">
        <v>56.84</v>
      </c>
      <c r="D35" s="16">
        <v>49.01</v>
      </c>
      <c r="E35" s="16">
        <v>49.1</v>
      </c>
      <c r="F35" s="15">
        <v>49.1</v>
      </c>
      <c r="G35" s="16" t="s">
        <v>74</v>
      </c>
    </row>
    <row r="36" spans="1:7" x14ac:dyDescent="0.3">
      <c r="A36" s="2" t="s">
        <v>75</v>
      </c>
      <c r="B36" s="14">
        <v>51.33</v>
      </c>
      <c r="C36" s="14">
        <v>55.49</v>
      </c>
      <c r="D36" s="14">
        <v>50.59</v>
      </c>
      <c r="E36" s="14">
        <v>55.49</v>
      </c>
      <c r="F36" s="15">
        <v>55.49</v>
      </c>
      <c r="G36" s="14" t="s">
        <v>76</v>
      </c>
    </row>
    <row r="37" spans="1:7" x14ac:dyDescent="0.3">
      <c r="A37" s="3" t="s">
        <v>77</v>
      </c>
      <c r="B37" s="16">
        <v>52.15</v>
      </c>
      <c r="C37" s="16">
        <v>52.82</v>
      </c>
      <c r="D37" s="16">
        <v>51.26</v>
      </c>
      <c r="E37" s="16">
        <v>51.33</v>
      </c>
      <c r="F37" s="15">
        <v>51.33</v>
      </c>
      <c r="G37" s="16" t="s">
        <v>78</v>
      </c>
    </row>
    <row r="38" spans="1:7" x14ac:dyDescent="0.3">
      <c r="A38" s="2" t="s">
        <v>79</v>
      </c>
      <c r="B38" s="14">
        <v>49.9</v>
      </c>
      <c r="C38" s="14">
        <v>53.37</v>
      </c>
      <c r="D38" s="14">
        <v>49.63</v>
      </c>
      <c r="E38" s="14">
        <v>53.11</v>
      </c>
      <c r="F38" s="15">
        <v>53.11</v>
      </c>
      <c r="G38" s="14" t="s">
        <v>80</v>
      </c>
    </row>
    <row r="39" spans="1:7" x14ac:dyDescent="0.3">
      <c r="A39" s="3" t="s">
        <v>81</v>
      </c>
      <c r="B39" s="16">
        <v>50.62</v>
      </c>
      <c r="C39" s="16">
        <v>51.21</v>
      </c>
      <c r="D39" s="16">
        <v>48.49</v>
      </c>
      <c r="E39" s="16">
        <v>50.08</v>
      </c>
      <c r="F39" s="15">
        <v>50.08</v>
      </c>
      <c r="G39" s="16" t="s">
        <v>82</v>
      </c>
    </row>
    <row r="40" spans="1:7" x14ac:dyDescent="0.3">
      <c r="A40" s="2" t="s">
        <v>83</v>
      </c>
      <c r="B40" s="14">
        <v>48.35</v>
      </c>
      <c r="C40" s="14">
        <v>50.67</v>
      </c>
      <c r="D40" s="14">
        <v>47.9</v>
      </c>
      <c r="E40" s="14">
        <v>50.49</v>
      </c>
      <c r="F40" s="15">
        <v>50.49</v>
      </c>
      <c r="G40" s="14" t="s">
        <v>84</v>
      </c>
    </row>
    <row r="41" spans="1:7" x14ac:dyDescent="0.3">
      <c r="A41" s="3" t="s">
        <v>85</v>
      </c>
      <c r="B41" s="16">
        <v>50.92</v>
      </c>
      <c r="C41" s="16">
        <v>51</v>
      </c>
      <c r="D41" s="16">
        <v>48.35</v>
      </c>
      <c r="E41" s="16">
        <v>48.63</v>
      </c>
      <c r="F41" s="15">
        <v>48.63</v>
      </c>
      <c r="G41" s="16" t="s">
        <v>86</v>
      </c>
    </row>
    <row r="42" spans="1:7" x14ac:dyDescent="0.3">
      <c r="A42" s="2" t="s">
        <v>87</v>
      </c>
      <c r="B42" s="14">
        <v>51.35</v>
      </c>
      <c r="C42" s="14">
        <v>53</v>
      </c>
      <c r="D42" s="14">
        <v>50.38</v>
      </c>
      <c r="E42" s="14">
        <v>50.82</v>
      </c>
      <c r="F42" s="15">
        <v>50.82</v>
      </c>
      <c r="G42" s="14" t="s">
        <v>88</v>
      </c>
    </row>
    <row r="43" spans="1:7" x14ac:dyDescent="0.3">
      <c r="A43" s="3" t="s">
        <v>89</v>
      </c>
      <c r="B43" s="16">
        <v>51.84</v>
      </c>
      <c r="C43" s="16">
        <v>52.03</v>
      </c>
      <c r="D43" s="16">
        <v>50.6</v>
      </c>
      <c r="E43" s="16">
        <v>51.35</v>
      </c>
      <c r="F43" s="15">
        <v>51.35</v>
      </c>
      <c r="G43" s="16" t="s">
        <v>90</v>
      </c>
    </row>
    <row r="44" spans="1:7" x14ac:dyDescent="0.3">
      <c r="A44" s="2" t="s">
        <v>91</v>
      </c>
      <c r="B44" s="14">
        <v>51.61</v>
      </c>
      <c r="C44" s="14">
        <v>53.91</v>
      </c>
      <c r="D44" s="14">
        <v>51.23</v>
      </c>
      <c r="E44" s="14">
        <v>52.59</v>
      </c>
      <c r="F44" s="15">
        <v>52.59</v>
      </c>
      <c r="G44" s="14" t="s">
        <v>92</v>
      </c>
    </row>
    <row r="45" spans="1:7" x14ac:dyDescent="0.3">
      <c r="A45" s="3" t="s">
        <v>93</v>
      </c>
      <c r="B45" s="16">
        <v>52.46</v>
      </c>
      <c r="C45" s="16">
        <v>53.55</v>
      </c>
      <c r="D45" s="16">
        <v>49.92</v>
      </c>
      <c r="E45" s="16">
        <v>50.54</v>
      </c>
      <c r="F45" s="15">
        <v>50.54</v>
      </c>
      <c r="G45" s="16" t="s">
        <v>94</v>
      </c>
    </row>
    <row r="46" spans="1:7" x14ac:dyDescent="0.3">
      <c r="A46" s="2" t="s">
        <v>95</v>
      </c>
      <c r="B46" s="14">
        <v>52.11</v>
      </c>
      <c r="C46" s="14">
        <v>54.51</v>
      </c>
      <c r="D46" s="14">
        <v>52.05</v>
      </c>
      <c r="E46" s="14">
        <v>52.5</v>
      </c>
      <c r="F46" s="15">
        <v>52.5</v>
      </c>
      <c r="G46" s="14" t="s">
        <v>96</v>
      </c>
    </row>
    <row r="47" spans="1:7" x14ac:dyDescent="0.3">
      <c r="A47" s="3" t="s">
        <v>97</v>
      </c>
      <c r="B47" s="52" t="s">
        <v>98</v>
      </c>
      <c r="C47" s="52"/>
      <c r="D47" s="52"/>
      <c r="E47" s="52"/>
      <c r="F47" s="52"/>
      <c r="G47" s="52"/>
    </row>
    <row r="48" spans="1:7" x14ac:dyDescent="0.3">
      <c r="A48" s="2" t="s">
        <v>99</v>
      </c>
      <c r="B48" s="14">
        <v>53.5</v>
      </c>
      <c r="C48" s="14">
        <v>54.92</v>
      </c>
      <c r="D48" s="14">
        <v>49.76</v>
      </c>
      <c r="E48" s="14">
        <v>51.07</v>
      </c>
      <c r="F48" s="15">
        <v>47</v>
      </c>
      <c r="G48" s="14" t="s">
        <v>100</v>
      </c>
    </row>
    <row r="49" spans="1:7" x14ac:dyDescent="0.3">
      <c r="A49" s="3" t="s">
        <v>101</v>
      </c>
      <c r="B49" s="16">
        <v>55.05</v>
      </c>
      <c r="C49" s="16">
        <v>55.57</v>
      </c>
      <c r="D49" s="16">
        <v>52.12</v>
      </c>
      <c r="E49" s="16">
        <v>53.3</v>
      </c>
      <c r="F49" s="15">
        <v>49.05</v>
      </c>
      <c r="G49" s="16" t="s">
        <v>102</v>
      </c>
    </row>
    <row r="50" spans="1:7" x14ac:dyDescent="0.3">
      <c r="A50" s="2" t="s">
        <v>103</v>
      </c>
      <c r="B50" s="14">
        <v>50.23</v>
      </c>
      <c r="C50" s="14">
        <v>54.82</v>
      </c>
      <c r="D50" s="14">
        <v>50.16</v>
      </c>
      <c r="E50" s="14">
        <v>54.59</v>
      </c>
      <c r="F50" s="15">
        <v>50.24</v>
      </c>
      <c r="G50" s="14" t="s">
        <v>104</v>
      </c>
    </row>
    <row r="51" spans="1:7" x14ac:dyDescent="0.3">
      <c r="A51" s="3" t="s">
        <v>105</v>
      </c>
      <c r="B51" s="16">
        <v>49.12</v>
      </c>
      <c r="C51" s="16">
        <v>51.16</v>
      </c>
      <c r="D51" s="16">
        <v>48.67</v>
      </c>
      <c r="E51" s="16">
        <v>50.23</v>
      </c>
      <c r="F51" s="15">
        <v>46.23</v>
      </c>
      <c r="G51" s="16" t="s">
        <v>106</v>
      </c>
    </row>
    <row r="52" spans="1:7" x14ac:dyDescent="0.3">
      <c r="A52" s="2" t="s">
        <v>107</v>
      </c>
      <c r="B52" s="14">
        <v>45.66</v>
      </c>
      <c r="C52" s="14">
        <v>51.46</v>
      </c>
      <c r="D52" s="14">
        <v>45.6</v>
      </c>
      <c r="E52" s="14">
        <v>48.19</v>
      </c>
      <c r="F52" s="15">
        <v>44.36</v>
      </c>
      <c r="G52" s="14" t="s">
        <v>108</v>
      </c>
    </row>
    <row r="53" spans="1:7" x14ac:dyDescent="0.3">
      <c r="A53" s="3" t="s">
        <v>109</v>
      </c>
      <c r="B53" s="16">
        <v>55.13</v>
      </c>
      <c r="C53" s="16">
        <v>55.19</v>
      </c>
      <c r="D53" s="16">
        <v>48.31</v>
      </c>
      <c r="E53" s="16">
        <v>49.06</v>
      </c>
      <c r="F53" s="15">
        <v>45.16</v>
      </c>
      <c r="G53" s="16" t="s">
        <v>110</v>
      </c>
    </row>
    <row r="54" spans="1:7" x14ac:dyDescent="0.3">
      <c r="A54" s="2" t="s">
        <v>111</v>
      </c>
      <c r="B54" s="14">
        <v>58.36</v>
      </c>
      <c r="C54" s="14">
        <v>59.81</v>
      </c>
      <c r="D54" s="14">
        <v>54.75</v>
      </c>
      <c r="E54" s="14">
        <v>55.75</v>
      </c>
      <c r="F54" s="15">
        <v>51.31</v>
      </c>
      <c r="G54" s="14" t="s">
        <v>112</v>
      </c>
    </row>
    <row r="55" spans="1:7" x14ac:dyDescent="0.3">
      <c r="A55" s="3" t="s">
        <v>113</v>
      </c>
      <c r="B55" s="16">
        <v>59.97</v>
      </c>
      <c r="C55" s="16">
        <v>61.55</v>
      </c>
      <c r="D55" s="16">
        <v>57.7</v>
      </c>
      <c r="E55" s="16">
        <v>58.36</v>
      </c>
      <c r="F55" s="15">
        <v>53.71</v>
      </c>
      <c r="G55" s="16" t="s">
        <v>114</v>
      </c>
    </row>
    <row r="56" spans="1:7" x14ac:dyDescent="0.3">
      <c r="A56" s="4" t="s">
        <v>115</v>
      </c>
      <c r="B56" s="17">
        <v>61.74</v>
      </c>
      <c r="C56" s="17">
        <v>63.17</v>
      </c>
      <c r="D56" s="17">
        <v>58.72</v>
      </c>
      <c r="E56" s="17">
        <v>59.97</v>
      </c>
      <c r="F56" s="15">
        <v>55.19</v>
      </c>
      <c r="G56" s="17" t="s">
        <v>116</v>
      </c>
    </row>
  </sheetData>
  <mergeCells count="1">
    <mergeCell ref="B47:G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I5" sqref="I5"/>
    </sheetView>
  </sheetViews>
  <sheetFormatPr defaultRowHeight="14.4" x14ac:dyDescent="0.3"/>
  <cols>
    <col min="1" max="1" width="10.44140625" customWidth="1"/>
    <col min="2" max="5" width="8.88671875" style="11"/>
    <col min="6" max="6" width="8.88671875" style="18"/>
    <col min="7" max="7" width="8.88671875" style="11"/>
  </cols>
  <sheetData>
    <row r="1" spans="1:9" x14ac:dyDescent="0.3">
      <c r="A1" s="1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3" t="s">
        <v>6</v>
      </c>
      <c r="G1" s="12" t="s">
        <v>7</v>
      </c>
    </row>
    <row r="2" spans="1:9" x14ac:dyDescent="0.3">
      <c r="A2" s="2" t="s">
        <v>8</v>
      </c>
      <c r="B2" s="14">
        <v>484.6</v>
      </c>
      <c r="C2" s="14">
        <v>486.6</v>
      </c>
      <c r="D2" s="14">
        <v>480</v>
      </c>
      <c r="E2" s="14">
        <v>484.6</v>
      </c>
      <c r="F2" s="15">
        <v>484.6</v>
      </c>
      <c r="G2" s="14">
        <v>867</v>
      </c>
    </row>
    <row r="3" spans="1:9" x14ac:dyDescent="0.3">
      <c r="A3" s="3" t="s">
        <v>9</v>
      </c>
      <c r="B3" s="16">
        <v>468</v>
      </c>
      <c r="C3" s="16">
        <v>474.2</v>
      </c>
      <c r="D3" s="16">
        <v>466.4</v>
      </c>
      <c r="E3" s="16">
        <v>473.8</v>
      </c>
      <c r="F3" s="15">
        <v>473.8</v>
      </c>
      <c r="G3" s="16">
        <v>7.4390000000000001</v>
      </c>
      <c r="I3" t="s">
        <v>122</v>
      </c>
    </row>
    <row r="4" spans="1:9" x14ac:dyDescent="0.3">
      <c r="A4" s="2" t="s">
        <v>11</v>
      </c>
      <c r="B4" s="14">
        <v>490</v>
      </c>
      <c r="C4" s="14">
        <v>503</v>
      </c>
      <c r="D4" s="14">
        <v>473.4</v>
      </c>
      <c r="E4" s="14">
        <v>478.4</v>
      </c>
      <c r="F4" s="15">
        <v>478.4</v>
      </c>
      <c r="G4" s="14">
        <v>28.077999999999999</v>
      </c>
    </row>
    <row r="5" spans="1:9" ht="18" customHeight="1" x14ac:dyDescent="0.3">
      <c r="A5" s="3" t="s">
        <v>13</v>
      </c>
      <c r="B5" s="16">
        <v>524</v>
      </c>
      <c r="C5" s="16">
        <v>539.5</v>
      </c>
      <c r="D5" s="16">
        <v>512</v>
      </c>
      <c r="E5" s="16">
        <v>517</v>
      </c>
      <c r="F5" s="15">
        <v>517</v>
      </c>
      <c r="G5" s="16">
        <v>25.744</v>
      </c>
      <c r="I5" s="6" t="s">
        <v>123</v>
      </c>
    </row>
    <row r="6" spans="1:9" x14ac:dyDescent="0.3">
      <c r="A6" s="2" t="s">
        <v>15</v>
      </c>
      <c r="B6" s="14">
        <v>496.2</v>
      </c>
      <c r="C6" s="14">
        <v>530</v>
      </c>
      <c r="D6" s="14">
        <v>492</v>
      </c>
      <c r="E6" s="14">
        <v>526</v>
      </c>
      <c r="F6" s="15">
        <v>526</v>
      </c>
      <c r="G6" s="14">
        <v>24.501999999999999</v>
      </c>
    </row>
    <row r="7" spans="1:9" x14ac:dyDescent="0.3">
      <c r="A7" s="3" t="s">
        <v>17</v>
      </c>
      <c r="B7" s="16">
        <v>502.5</v>
      </c>
      <c r="C7" s="16">
        <v>513</v>
      </c>
      <c r="D7" s="16">
        <v>490</v>
      </c>
      <c r="E7" s="16">
        <v>492</v>
      </c>
      <c r="F7" s="15">
        <v>492</v>
      </c>
      <c r="G7" s="16">
        <v>27.937999999999999</v>
      </c>
    </row>
    <row r="8" spans="1:9" x14ac:dyDescent="0.3">
      <c r="A8" s="2" t="s">
        <v>19</v>
      </c>
      <c r="B8" s="14">
        <v>512</v>
      </c>
      <c r="C8" s="14">
        <v>514</v>
      </c>
      <c r="D8" s="14">
        <v>493.4</v>
      </c>
      <c r="E8" s="14">
        <v>505</v>
      </c>
      <c r="F8" s="15">
        <v>505</v>
      </c>
      <c r="G8" s="14">
        <v>33.938000000000002</v>
      </c>
    </row>
    <row r="9" spans="1:9" x14ac:dyDescent="0.3">
      <c r="A9" s="3" t="s">
        <v>21</v>
      </c>
      <c r="B9" s="16">
        <v>545.5</v>
      </c>
      <c r="C9" s="16">
        <v>554.5</v>
      </c>
      <c r="D9" s="16">
        <v>499.4</v>
      </c>
      <c r="E9" s="16">
        <v>512</v>
      </c>
      <c r="F9" s="15">
        <v>512</v>
      </c>
      <c r="G9" s="16">
        <v>47.63</v>
      </c>
    </row>
    <row r="10" spans="1:9" x14ac:dyDescent="0.3">
      <c r="A10" s="2" t="s">
        <v>23</v>
      </c>
      <c r="B10" s="14">
        <v>548.5</v>
      </c>
      <c r="C10" s="14">
        <v>557.5</v>
      </c>
      <c r="D10" s="14">
        <v>530.5</v>
      </c>
      <c r="E10" s="14">
        <v>549.5</v>
      </c>
      <c r="F10" s="15">
        <v>549.5</v>
      </c>
      <c r="G10" s="14">
        <v>19.349</v>
      </c>
    </row>
    <row r="11" spans="1:9" x14ac:dyDescent="0.3">
      <c r="A11" s="3" t="s">
        <v>25</v>
      </c>
      <c r="B11" s="16">
        <v>605.5</v>
      </c>
      <c r="C11" s="16">
        <v>610</v>
      </c>
      <c r="D11" s="16">
        <v>561</v>
      </c>
      <c r="E11" s="16">
        <v>566</v>
      </c>
      <c r="F11" s="15">
        <v>566</v>
      </c>
      <c r="G11" s="16">
        <v>14.77</v>
      </c>
    </row>
    <row r="12" spans="1:9" x14ac:dyDescent="0.3">
      <c r="A12" s="2" t="s">
        <v>27</v>
      </c>
      <c r="B12" s="14">
        <v>593</v>
      </c>
      <c r="C12" s="14">
        <v>607.5</v>
      </c>
      <c r="D12" s="14">
        <v>578</v>
      </c>
      <c r="E12" s="14">
        <v>607.5</v>
      </c>
      <c r="F12" s="15">
        <v>607.5</v>
      </c>
      <c r="G12" s="14">
        <v>16.375</v>
      </c>
    </row>
    <row r="13" spans="1:9" x14ac:dyDescent="0.3">
      <c r="A13" s="3" t="s">
        <v>29</v>
      </c>
      <c r="B13" s="16">
        <v>582</v>
      </c>
      <c r="C13" s="16">
        <v>604</v>
      </c>
      <c r="D13" s="16">
        <v>582</v>
      </c>
      <c r="E13" s="16">
        <v>601.5</v>
      </c>
      <c r="F13" s="15">
        <v>601.5</v>
      </c>
      <c r="G13" s="16">
        <v>10.561</v>
      </c>
    </row>
    <row r="14" spans="1:9" x14ac:dyDescent="0.3">
      <c r="A14" s="2" t="s">
        <v>31</v>
      </c>
      <c r="B14" s="14">
        <v>582</v>
      </c>
      <c r="C14" s="14">
        <v>587</v>
      </c>
      <c r="D14" s="14">
        <v>579</v>
      </c>
      <c r="E14" s="14">
        <v>581.5</v>
      </c>
      <c r="F14" s="15">
        <v>581.5</v>
      </c>
      <c r="G14" s="14">
        <v>8.6440000000000001</v>
      </c>
    </row>
    <row r="15" spans="1:9" x14ac:dyDescent="0.3">
      <c r="A15" s="3" t="s">
        <v>33</v>
      </c>
      <c r="B15" s="16">
        <v>581</v>
      </c>
      <c r="C15" s="16">
        <v>593.5</v>
      </c>
      <c r="D15" s="16">
        <v>575.5</v>
      </c>
      <c r="E15" s="16">
        <v>587</v>
      </c>
      <c r="F15" s="15">
        <v>587</v>
      </c>
      <c r="G15" s="16">
        <v>18.655999999999999</v>
      </c>
    </row>
    <row r="16" spans="1:9" x14ac:dyDescent="0.3">
      <c r="A16" s="2" t="s">
        <v>35</v>
      </c>
      <c r="B16" s="14">
        <v>580.5</v>
      </c>
      <c r="C16" s="14">
        <v>585</v>
      </c>
      <c r="D16" s="14">
        <v>570.5</v>
      </c>
      <c r="E16" s="14">
        <v>580.5</v>
      </c>
      <c r="F16" s="15">
        <v>580.5</v>
      </c>
      <c r="G16" s="14">
        <v>9.9890000000000008</v>
      </c>
    </row>
    <row r="17" spans="1:7" x14ac:dyDescent="0.3">
      <c r="A17" s="3" t="s">
        <v>118</v>
      </c>
      <c r="B17" s="52" t="s">
        <v>119</v>
      </c>
      <c r="C17" s="52"/>
      <c r="D17" s="52"/>
      <c r="E17" s="52"/>
      <c r="F17" s="52"/>
      <c r="G17" s="52"/>
    </row>
    <row r="18" spans="1:7" x14ac:dyDescent="0.3">
      <c r="A18" s="2" t="s">
        <v>37</v>
      </c>
      <c r="B18" s="14">
        <v>584</v>
      </c>
      <c r="C18" s="14">
        <v>601</v>
      </c>
      <c r="D18" s="14">
        <v>579</v>
      </c>
      <c r="E18" s="14">
        <v>587</v>
      </c>
      <c r="F18" s="15">
        <v>581.08000000000004</v>
      </c>
      <c r="G18" s="14">
        <v>10.95</v>
      </c>
    </row>
    <row r="19" spans="1:7" x14ac:dyDescent="0.3">
      <c r="A19" s="3" t="s">
        <v>39</v>
      </c>
      <c r="B19" s="16">
        <v>588.5</v>
      </c>
      <c r="C19" s="16">
        <v>591</v>
      </c>
      <c r="D19" s="16">
        <v>572.5</v>
      </c>
      <c r="E19" s="16">
        <v>589.5</v>
      </c>
      <c r="F19" s="15">
        <v>583.55999999999995</v>
      </c>
      <c r="G19" s="16">
        <v>11.093</v>
      </c>
    </row>
    <row r="20" spans="1:7" x14ac:dyDescent="0.3">
      <c r="A20" s="2" t="s">
        <v>41</v>
      </c>
      <c r="B20" s="14">
        <v>596</v>
      </c>
      <c r="C20" s="14">
        <v>596</v>
      </c>
      <c r="D20" s="14">
        <v>567.5</v>
      </c>
      <c r="E20" s="14">
        <v>581</v>
      </c>
      <c r="F20" s="15">
        <v>575.14</v>
      </c>
      <c r="G20" s="14">
        <v>14.925000000000001</v>
      </c>
    </row>
    <row r="21" spans="1:7" x14ac:dyDescent="0.3">
      <c r="A21" s="3" t="s">
        <v>43</v>
      </c>
      <c r="B21" s="16">
        <v>573</v>
      </c>
      <c r="C21" s="16">
        <v>611.5</v>
      </c>
      <c r="D21" s="16">
        <v>571</v>
      </c>
      <c r="E21" s="16">
        <v>597.5</v>
      </c>
      <c r="F21" s="15">
        <v>591.48</v>
      </c>
      <c r="G21" s="16">
        <v>23.446000000000002</v>
      </c>
    </row>
    <row r="22" spans="1:7" x14ac:dyDescent="0.3">
      <c r="A22" s="2" t="s">
        <v>45</v>
      </c>
      <c r="B22" s="14">
        <v>566</v>
      </c>
      <c r="C22" s="14">
        <v>574</v>
      </c>
      <c r="D22" s="14">
        <v>553.5</v>
      </c>
      <c r="E22" s="14">
        <v>563</v>
      </c>
      <c r="F22" s="15">
        <v>557.32000000000005</v>
      </c>
      <c r="G22" s="14">
        <v>10.760999999999999</v>
      </c>
    </row>
    <row r="23" spans="1:7" x14ac:dyDescent="0.3">
      <c r="A23" s="3" t="s">
        <v>47</v>
      </c>
      <c r="B23" s="16">
        <v>574.5</v>
      </c>
      <c r="C23" s="16">
        <v>577</v>
      </c>
      <c r="D23" s="16">
        <v>562.5</v>
      </c>
      <c r="E23" s="16">
        <v>567.5</v>
      </c>
      <c r="F23" s="15">
        <v>561.78</v>
      </c>
      <c r="G23" s="16">
        <v>11.819000000000001</v>
      </c>
    </row>
    <row r="24" spans="1:7" x14ac:dyDescent="0.3">
      <c r="A24" s="2" t="s">
        <v>49</v>
      </c>
      <c r="B24" s="14">
        <v>563</v>
      </c>
      <c r="C24" s="14">
        <v>583.5</v>
      </c>
      <c r="D24" s="14">
        <v>552</v>
      </c>
      <c r="E24" s="14">
        <v>570</v>
      </c>
      <c r="F24" s="15">
        <v>564.25</v>
      </c>
      <c r="G24" s="14">
        <v>20.324000000000002</v>
      </c>
    </row>
    <row r="25" spans="1:7" x14ac:dyDescent="0.3">
      <c r="A25" s="3" t="s">
        <v>51</v>
      </c>
      <c r="B25" s="16">
        <v>515.5</v>
      </c>
      <c r="C25" s="16">
        <v>569</v>
      </c>
      <c r="D25" s="16">
        <v>494.2</v>
      </c>
      <c r="E25" s="16">
        <v>560</v>
      </c>
      <c r="F25" s="15">
        <v>554.35</v>
      </c>
      <c r="G25" s="16">
        <v>27.462</v>
      </c>
    </row>
    <row r="26" spans="1:7" x14ac:dyDescent="0.3">
      <c r="A26" s="2" t="s">
        <v>53</v>
      </c>
      <c r="B26" s="14">
        <v>522.5</v>
      </c>
      <c r="C26" s="14">
        <v>549</v>
      </c>
      <c r="D26" s="14">
        <v>507</v>
      </c>
      <c r="E26" s="14">
        <v>511.5</v>
      </c>
      <c r="F26" s="15">
        <v>506.34</v>
      </c>
      <c r="G26" s="14">
        <v>20.943000000000001</v>
      </c>
    </row>
    <row r="27" spans="1:7" x14ac:dyDescent="0.3">
      <c r="A27" s="3" t="s">
        <v>55</v>
      </c>
      <c r="B27" s="16">
        <v>490.2</v>
      </c>
      <c r="C27" s="16">
        <v>524</v>
      </c>
      <c r="D27" s="16">
        <v>486.4</v>
      </c>
      <c r="E27" s="16">
        <v>524</v>
      </c>
      <c r="F27" s="15">
        <v>518.72</v>
      </c>
      <c r="G27" s="16">
        <v>18.513999999999999</v>
      </c>
    </row>
    <row r="28" spans="1:7" x14ac:dyDescent="0.3">
      <c r="A28" s="2" t="s">
        <v>57</v>
      </c>
      <c r="B28" s="14">
        <v>485</v>
      </c>
      <c r="C28" s="14">
        <v>501</v>
      </c>
      <c r="D28" s="14">
        <v>477</v>
      </c>
      <c r="E28" s="14">
        <v>486.2</v>
      </c>
      <c r="F28" s="15">
        <v>481.3</v>
      </c>
      <c r="G28" s="14">
        <v>12.255000000000001</v>
      </c>
    </row>
    <row r="29" spans="1:7" x14ac:dyDescent="0.3">
      <c r="A29" s="3" t="s">
        <v>59</v>
      </c>
      <c r="B29" s="16">
        <v>476.2</v>
      </c>
      <c r="C29" s="16">
        <v>498</v>
      </c>
      <c r="D29" s="16">
        <v>474.8</v>
      </c>
      <c r="E29" s="16">
        <v>486</v>
      </c>
      <c r="F29" s="15">
        <v>481.1</v>
      </c>
      <c r="G29" s="16">
        <v>34.359000000000002</v>
      </c>
    </row>
    <row r="30" spans="1:7" x14ac:dyDescent="0.3">
      <c r="A30" s="2" t="s">
        <v>61</v>
      </c>
      <c r="B30" s="14">
        <v>472.8</v>
      </c>
      <c r="C30" s="14">
        <v>479.6</v>
      </c>
      <c r="D30" s="14">
        <v>464.6</v>
      </c>
      <c r="E30" s="14">
        <v>471.6</v>
      </c>
      <c r="F30" s="15">
        <v>466.84</v>
      </c>
      <c r="G30" s="14">
        <v>18.341999999999999</v>
      </c>
    </row>
    <row r="31" spans="1:7" x14ac:dyDescent="0.3">
      <c r="A31" s="3" t="s">
        <v>63</v>
      </c>
      <c r="B31" s="16">
        <v>484</v>
      </c>
      <c r="C31" s="16">
        <v>501</v>
      </c>
      <c r="D31" s="16">
        <v>469.4</v>
      </c>
      <c r="E31" s="16">
        <v>472</v>
      </c>
      <c r="F31" s="15">
        <v>467.24</v>
      </c>
      <c r="G31" s="16">
        <v>23.821999999999999</v>
      </c>
    </row>
    <row r="32" spans="1:7" x14ac:dyDescent="0.3">
      <c r="A32" s="2" t="s">
        <v>65</v>
      </c>
      <c r="B32" s="14">
        <v>470.8</v>
      </c>
      <c r="C32" s="14">
        <v>503.5</v>
      </c>
      <c r="D32" s="14">
        <v>453.6</v>
      </c>
      <c r="E32" s="14">
        <v>482</v>
      </c>
      <c r="F32" s="15">
        <v>477.14</v>
      </c>
      <c r="G32" s="14">
        <v>25.731000000000002</v>
      </c>
    </row>
    <row r="33" spans="1:7" x14ac:dyDescent="0.3">
      <c r="A33" s="3" t="s">
        <v>67</v>
      </c>
      <c r="B33" s="16">
        <v>455.2</v>
      </c>
      <c r="C33" s="16">
        <v>476.2</v>
      </c>
      <c r="D33" s="16">
        <v>452.4</v>
      </c>
      <c r="E33" s="16">
        <v>473</v>
      </c>
      <c r="F33" s="15">
        <v>468.23</v>
      </c>
      <c r="G33" s="16">
        <v>12.622999999999999</v>
      </c>
    </row>
    <row r="34" spans="1:7" x14ac:dyDescent="0.3">
      <c r="A34" s="2" t="s">
        <v>69</v>
      </c>
      <c r="B34" s="14">
        <v>450.8</v>
      </c>
      <c r="C34" s="14">
        <v>459.4</v>
      </c>
      <c r="D34" s="14">
        <v>434.2</v>
      </c>
      <c r="E34" s="14">
        <v>455.6</v>
      </c>
      <c r="F34" s="15">
        <v>451.01</v>
      </c>
      <c r="G34" s="14">
        <v>14.907999999999999</v>
      </c>
    </row>
    <row r="35" spans="1:7" x14ac:dyDescent="0.3">
      <c r="A35" s="3" t="s">
        <v>71</v>
      </c>
      <c r="B35" s="16">
        <v>443.4</v>
      </c>
      <c r="C35" s="16">
        <v>453.4</v>
      </c>
      <c r="D35" s="16">
        <v>434</v>
      </c>
      <c r="E35" s="16">
        <v>448.2</v>
      </c>
      <c r="F35" s="15">
        <v>443.68</v>
      </c>
      <c r="G35" s="16">
        <v>15.82</v>
      </c>
    </row>
    <row r="36" spans="1:7" x14ac:dyDescent="0.3">
      <c r="A36" s="2" t="s">
        <v>73</v>
      </c>
      <c r="B36" s="14">
        <v>473.8</v>
      </c>
      <c r="C36" s="14">
        <v>479.2</v>
      </c>
      <c r="D36" s="14">
        <v>439.6</v>
      </c>
      <c r="E36" s="14">
        <v>440.4</v>
      </c>
      <c r="F36" s="15">
        <v>435.96</v>
      </c>
      <c r="G36" s="14">
        <v>16.587</v>
      </c>
    </row>
    <row r="37" spans="1:7" x14ac:dyDescent="0.3">
      <c r="A37" s="3" t="s">
        <v>75</v>
      </c>
      <c r="B37" s="16">
        <v>450</v>
      </c>
      <c r="C37" s="16">
        <v>472</v>
      </c>
      <c r="D37" s="16">
        <v>440.4</v>
      </c>
      <c r="E37" s="16">
        <v>466.4</v>
      </c>
      <c r="F37" s="15">
        <v>461.7</v>
      </c>
      <c r="G37" s="16">
        <v>25.169</v>
      </c>
    </row>
    <row r="38" spans="1:7" x14ac:dyDescent="0.3">
      <c r="A38" s="2" t="s">
        <v>77</v>
      </c>
      <c r="B38" s="14">
        <v>454</v>
      </c>
      <c r="C38" s="14">
        <v>458.6</v>
      </c>
      <c r="D38" s="14">
        <v>444.2</v>
      </c>
      <c r="E38" s="14">
        <v>449</v>
      </c>
      <c r="F38" s="15">
        <v>444.47</v>
      </c>
      <c r="G38" s="14">
        <v>25.509</v>
      </c>
    </row>
    <row r="39" spans="1:7" x14ac:dyDescent="0.3">
      <c r="A39" s="3" t="s">
        <v>79</v>
      </c>
      <c r="B39" s="16">
        <v>459.8</v>
      </c>
      <c r="C39" s="16">
        <v>474.8</v>
      </c>
      <c r="D39" s="16">
        <v>446.2</v>
      </c>
      <c r="E39" s="16">
        <v>461</v>
      </c>
      <c r="F39" s="15">
        <v>456.35</v>
      </c>
      <c r="G39" s="16">
        <v>18.574000000000002</v>
      </c>
    </row>
    <row r="40" spans="1:7" x14ac:dyDescent="0.3">
      <c r="A40" s="2" t="s">
        <v>81</v>
      </c>
      <c r="B40" s="14">
        <v>430</v>
      </c>
      <c r="C40" s="14">
        <v>467.4</v>
      </c>
      <c r="D40" s="14">
        <v>423</v>
      </c>
      <c r="E40" s="14">
        <v>450.8</v>
      </c>
      <c r="F40" s="15">
        <v>446.25</v>
      </c>
      <c r="G40" s="14">
        <v>28.16</v>
      </c>
    </row>
    <row r="41" spans="1:7" x14ac:dyDescent="0.3">
      <c r="A41" s="3" t="s">
        <v>83</v>
      </c>
      <c r="B41" s="16">
        <v>421.6</v>
      </c>
      <c r="C41" s="16">
        <v>439.2</v>
      </c>
      <c r="D41" s="16">
        <v>414.8</v>
      </c>
      <c r="E41" s="16">
        <v>428</v>
      </c>
      <c r="F41" s="15">
        <v>423.68</v>
      </c>
      <c r="G41" s="16">
        <v>25.108000000000001</v>
      </c>
    </row>
    <row r="42" spans="1:7" x14ac:dyDescent="0.3">
      <c r="A42" s="2" t="s">
        <v>85</v>
      </c>
      <c r="B42" s="14">
        <v>434.2</v>
      </c>
      <c r="C42" s="14">
        <v>442</v>
      </c>
      <c r="D42" s="14">
        <v>425.4</v>
      </c>
      <c r="E42" s="14">
        <v>425.4</v>
      </c>
      <c r="F42" s="15">
        <v>421.11</v>
      </c>
      <c r="G42" s="14">
        <v>40.709000000000003</v>
      </c>
    </row>
    <row r="43" spans="1:7" x14ac:dyDescent="0.3">
      <c r="A43" s="3" t="s">
        <v>87</v>
      </c>
      <c r="B43" s="16">
        <v>436</v>
      </c>
      <c r="C43" s="16">
        <v>450.6</v>
      </c>
      <c r="D43" s="16">
        <v>429.8</v>
      </c>
      <c r="E43" s="16">
        <v>433.8</v>
      </c>
      <c r="F43" s="15">
        <v>429.43</v>
      </c>
      <c r="G43" s="16">
        <v>24.867999999999999</v>
      </c>
    </row>
    <row r="44" spans="1:7" x14ac:dyDescent="0.3">
      <c r="A44" s="2" t="s">
        <v>89</v>
      </c>
      <c r="B44" s="14">
        <v>439.8</v>
      </c>
      <c r="C44" s="14">
        <v>450</v>
      </c>
      <c r="D44" s="14">
        <v>436.4</v>
      </c>
      <c r="E44" s="14">
        <v>438</v>
      </c>
      <c r="F44" s="15">
        <v>433.58</v>
      </c>
      <c r="G44" s="14">
        <v>17.498000000000001</v>
      </c>
    </row>
    <row r="45" spans="1:7" x14ac:dyDescent="0.3">
      <c r="A45" s="3" t="s">
        <v>91</v>
      </c>
      <c r="B45" s="16">
        <v>452.4</v>
      </c>
      <c r="C45" s="16">
        <v>466</v>
      </c>
      <c r="D45" s="16">
        <v>446.6</v>
      </c>
      <c r="E45" s="16">
        <v>448.6</v>
      </c>
      <c r="F45" s="15">
        <v>444.08</v>
      </c>
      <c r="G45" s="16">
        <v>14.148999999999999</v>
      </c>
    </row>
    <row r="46" spans="1:7" x14ac:dyDescent="0.3">
      <c r="A46" s="2" t="s">
        <v>93</v>
      </c>
      <c r="B46" s="14">
        <v>468</v>
      </c>
      <c r="C46" s="14">
        <v>472.2</v>
      </c>
      <c r="D46" s="14">
        <v>438.4</v>
      </c>
      <c r="E46" s="14">
        <v>446.2</v>
      </c>
      <c r="F46" s="15">
        <v>441.7</v>
      </c>
      <c r="G46" s="14">
        <v>34.963000000000001</v>
      </c>
    </row>
    <row r="47" spans="1:7" x14ac:dyDescent="0.3">
      <c r="A47" s="3" t="s">
        <v>95</v>
      </c>
      <c r="B47" s="16">
        <v>464.6</v>
      </c>
      <c r="C47" s="16">
        <v>501</v>
      </c>
      <c r="D47" s="16">
        <v>464.6</v>
      </c>
      <c r="E47" s="16">
        <v>470.2</v>
      </c>
      <c r="F47" s="15">
        <v>465.46</v>
      </c>
      <c r="G47" s="16">
        <v>30.003</v>
      </c>
    </row>
    <row r="48" spans="1:7" x14ac:dyDescent="0.3">
      <c r="A48" s="2" t="s">
        <v>99</v>
      </c>
      <c r="B48" s="14">
        <v>461.2</v>
      </c>
      <c r="C48" s="14">
        <v>464</v>
      </c>
      <c r="D48" s="14">
        <v>447.8</v>
      </c>
      <c r="E48" s="14">
        <v>459.4</v>
      </c>
      <c r="F48" s="15">
        <v>454.77</v>
      </c>
      <c r="G48" s="14">
        <v>15.755000000000001</v>
      </c>
    </row>
    <row r="49" spans="1:7" x14ac:dyDescent="0.3">
      <c r="A49" s="3" t="s">
        <v>101</v>
      </c>
      <c r="B49" s="16">
        <v>462.4</v>
      </c>
      <c r="C49" s="16">
        <v>467</v>
      </c>
      <c r="D49" s="16">
        <v>445</v>
      </c>
      <c r="E49" s="16">
        <v>461.6</v>
      </c>
      <c r="F49" s="15">
        <v>456.95</v>
      </c>
      <c r="G49" s="16">
        <v>22.056999999999999</v>
      </c>
    </row>
    <row r="50" spans="1:7" x14ac:dyDescent="0.3">
      <c r="A50" s="2" t="s">
        <v>120</v>
      </c>
      <c r="B50" s="53" t="s">
        <v>121</v>
      </c>
      <c r="C50" s="53"/>
      <c r="D50" s="53"/>
      <c r="E50" s="53"/>
      <c r="F50" s="53"/>
      <c r="G50" s="53"/>
    </row>
    <row r="51" spans="1:7" x14ac:dyDescent="0.3">
      <c r="A51" s="3" t="s">
        <v>103</v>
      </c>
      <c r="B51" s="16">
        <v>444.4</v>
      </c>
      <c r="C51" s="16">
        <v>474</v>
      </c>
      <c r="D51" s="16">
        <v>434.4</v>
      </c>
      <c r="E51" s="16">
        <v>460</v>
      </c>
      <c r="F51" s="15">
        <v>448.02</v>
      </c>
      <c r="G51" s="16">
        <v>25.61</v>
      </c>
    </row>
    <row r="52" spans="1:7" x14ac:dyDescent="0.3">
      <c r="A52" s="2" t="s">
        <v>105</v>
      </c>
      <c r="B52" s="14">
        <v>490.8</v>
      </c>
      <c r="C52" s="14">
        <v>495.2</v>
      </c>
      <c r="D52" s="14">
        <v>443.8</v>
      </c>
      <c r="E52" s="14">
        <v>444.4</v>
      </c>
      <c r="F52" s="15">
        <v>432.83</v>
      </c>
      <c r="G52" s="14">
        <v>29.34</v>
      </c>
    </row>
    <row r="53" spans="1:7" x14ac:dyDescent="0.3">
      <c r="A53" s="3" t="s">
        <v>107</v>
      </c>
      <c r="B53" s="16">
        <v>454.6</v>
      </c>
      <c r="C53" s="16">
        <v>520.5</v>
      </c>
      <c r="D53" s="16">
        <v>445.6</v>
      </c>
      <c r="E53" s="16">
        <v>479.8</v>
      </c>
      <c r="F53" s="15">
        <v>467.31</v>
      </c>
      <c r="G53" s="16">
        <v>51.959000000000003</v>
      </c>
    </row>
    <row r="54" spans="1:7" x14ac:dyDescent="0.3">
      <c r="A54" s="2" t="s">
        <v>109</v>
      </c>
      <c r="B54" s="14">
        <v>529</v>
      </c>
      <c r="C54" s="14">
        <v>540</v>
      </c>
      <c r="D54" s="14">
        <v>480.2</v>
      </c>
      <c r="E54" s="14">
        <v>488.4</v>
      </c>
      <c r="F54" s="15">
        <v>475.68</v>
      </c>
      <c r="G54" s="14">
        <v>34.054000000000002</v>
      </c>
    </row>
    <row r="55" spans="1:7" x14ac:dyDescent="0.3">
      <c r="A55" s="3" t="s">
        <v>111</v>
      </c>
      <c r="B55" s="16">
        <v>560</v>
      </c>
      <c r="C55" s="16">
        <v>563</v>
      </c>
      <c r="D55" s="16">
        <v>540.5</v>
      </c>
      <c r="E55" s="16">
        <v>541.5</v>
      </c>
      <c r="F55" s="15">
        <v>527.4</v>
      </c>
      <c r="G55" s="16">
        <v>25.786000000000001</v>
      </c>
    </row>
    <row r="56" spans="1:7" x14ac:dyDescent="0.3">
      <c r="A56" s="2" t="s">
        <v>113</v>
      </c>
      <c r="B56" s="14">
        <v>560.5</v>
      </c>
      <c r="C56" s="14">
        <v>567.5</v>
      </c>
      <c r="D56" s="14">
        <v>549</v>
      </c>
      <c r="E56" s="14">
        <v>557</v>
      </c>
      <c r="F56" s="15">
        <v>542.5</v>
      </c>
      <c r="G56" s="14">
        <v>26.483000000000001</v>
      </c>
    </row>
    <row r="57" spans="1:7" x14ac:dyDescent="0.3">
      <c r="A57" s="4" t="s">
        <v>115</v>
      </c>
      <c r="B57" s="17">
        <v>588.5</v>
      </c>
      <c r="C57" s="17">
        <v>589</v>
      </c>
      <c r="D57" s="17">
        <v>553.5</v>
      </c>
      <c r="E57" s="17">
        <v>559.5</v>
      </c>
      <c r="F57" s="15">
        <v>544.92999999999995</v>
      </c>
      <c r="G57" s="17">
        <v>25.451000000000001</v>
      </c>
    </row>
  </sheetData>
  <mergeCells count="2">
    <mergeCell ref="B17:G17"/>
    <mergeCell ref="B50:G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F30" sqref="F30"/>
    </sheetView>
  </sheetViews>
  <sheetFormatPr defaultRowHeight="14.4" x14ac:dyDescent="0.3"/>
  <cols>
    <col min="1" max="1" width="14.33203125" customWidth="1"/>
    <col min="2" max="2" width="14.33203125" style="11" customWidth="1"/>
    <col min="3" max="3" width="13.33203125" style="11" customWidth="1"/>
    <col min="4" max="4" width="13" style="11" customWidth="1"/>
    <col min="5" max="5" width="14.21875" style="11" customWidth="1"/>
    <col min="8" max="8" width="22" customWidth="1"/>
  </cols>
  <sheetData>
    <row r="1" spans="1:10" x14ac:dyDescent="0.3">
      <c r="A1" t="s">
        <v>1</v>
      </c>
      <c r="B1" s="11" t="s">
        <v>124</v>
      </c>
      <c r="C1" s="11" t="s">
        <v>125</v>
      </c>
      <c r="D1" s="11" t="s">
        <v>126</v>
      </c>
      <c r="E1" s="11" t="s">
        <v>127</v>
      </c>
    </row>
    <row r="2" spans="1:10" x14ac:dyDescent="0.3">
      <c r="A2" t="s">
        <v>8</v>
      </c>
      <c r="B2" s="11">
        <f>IFERROR(VLOOKUP(A2,Mercedes!A:F,6,FALSE),"")</f>
        <v>55.44</v>
      </c>
      <c r="C2" s="11">
        <f>IFERROR(VLOOKUP(A2,Dior!A:F,6,FALSE),"")</f>
        <v>484.6</v>
      </c>
      <c r="D2" s="11">
        <f>IFERROR(B2/B3-1,"")</f>
        <v>2.1935483870967776E-2</v>
      </c>
      <c r="E2" s="11">
        <f>IFERROR(C2/C3-1,"")</f>
        <v>2.2794428028704017E-2</v>
      </c>
      <c r="H2" s="9" t="s">
        <v>144</v>
      </c>
      <c r="I2" s="9"/>
      <c r="J2" s="9"/>
    </row>
    <row r="3" spans="1:10" x14ac:dyDescent="0.3">
      <c r="A3" t="s">
        <v>9</v>
      </c>
      <c r="B3" s="11">
        <f>IFERROR(VLOOKUP(A3,Mercedes!A:F,6,FALSE),"")</f>
        <v>54.25</v>
      </c>
      <c r="C3" s="11">
        <f>IFERROR(VLOOKUP(A3,Dior!A:F,6,FALSE),"")</f>
        <v>473.8</v>
      </c>
      <c r="D3" s="11">
        <f t="shared" ref="D3:D56" si="0">IFERROR(B3/B4-1,"")</f>
        <v>-9.6750638919314014E-3</v>
      </c>
      <c r="E3" s="11">
        <f t="shared" ref="E3:E56" si="1">IFERROR(C3/C4-1,"")</f>
        <v>-9.6153846153845812E-3</v>
      </c>
      <c r="H3" s="9"/>
      <c r="I3" s="9"/>
      <c r="J3" s="9"/>
    </row>
    <row r="4" spans="1:10" x14ac:dyDescent="0.3">
      <c r="A4" t="s">
        <v>11</v>
      </c>
      <c r="B4" s="11">
        <f>IFERROR(VLOOKUP(A4,Mercedes!A:F,6,FALSE),"")</f>
        <v>54.78</v>
      </c>
      <c r="C4" s="11">
        <f>IFERROR(VLOOKUP(A4,Dior!A:F,6,FALSE),"")</f>
        <v>478.4</v>
      </c>
      <c r="D4" s="11">
        <f t="shared" si="0"/>
        <v>-7.1525423728813542E-2</v>
      </c>
      <c r="E4" s="11">
        <f t="shared" si="1"/>
        <v>-7.4661508704061963E-2</v>
      </c>
      <c r="H4" s="9"/>
      <c r="I4" s="9" t="s">
        <v>124</v>
      </c>
      <c r="J4" s="9" t="s">
        <v>125</v>
      </c>
    </row>
    <row r="5" spans="1:10" x14ac:dyDescent="0.3">
      <c r="A5" t="s">
        <v>13</v>
      </c>
      <c r="B5" s="11">
        <f>IFERROR(VLOOKUP(A5,Mercedes!A:F,6,FALSE),"")</f>
        <v>59</v>
      </c>
      <c r="C5" s="11">
        <f>IFERROR(VLOOKUP(A5,Dior!A:F,6,FALSE),"")</f>
        <v>517</v>
      </c>
      <c r="D5" s="11">
        <f t="shared" si="0"/>
        <v>-4.051316677920358E-3</v>
      </c>
      <c r="E5" s="11">
        <f t="shared" si="1"/>
        <v>-1.7110266159695797E-2</v>
      </c>
      <c r="H5" s="10" t="s">
        <v>128</v>
      </c>
      <c r="I5" s="9">
        <f>MAX(D2:D55)</f>
        <v>8.6740211983560522E-2</v>
      </c>
      <c r="J5" s="9">
        <f>MAX(E:E)</f>
        <v>9.4817711419204587E-2</v>
      </c>
    </row>
    <row r="6" spans="1:10" x14ac:dyDescent="0.3">
      <c r="A6" t="s">
        <v>15</v>
      </c>
      <c r="B6" s="11">
        <f>IFERROR(VLOOKUP(A6,Mercedes!A:F,6,FALSE),"")</f>
        <v>59.24</v>
      </c>
      <c r="C6" s="11">
        <f>IFERROR(VLOOKUP(A6,Dior!A:F,6,FALSE),"")</f>
        <v>526</v>
      </c>
      <c r="D6" s="11">
        <f t="shared" si="0"/>
        <v>2.811523776466518E-2</v>
      </c>
      <c r="E6" s="11">
        <f t="shared" si="1"/>
        <v>6.9105691056910556E-2</v>
      </c>
      <c r="H6" s="10" t="s">
        <v>129</v>
      </c>
      <c r="I6" s="9">
        <f>MIN(D:D)</f>
        <v>-1</v>
      </c>
      <c r="J6" s="9">
        <f>MIN(E:E)</f>
        <v>-9.8065984072809975E-2</v>
      </c>
    </row>
    <row r="7" spans="1:10" x14ac:dyDescent="0.3">
      <c r="A7" t="s">
        <v>17</v>
      </c>
      <c r="B7" s="11">
        <f>IFERROR(VLOOKUP(A7,Mercedes!A:F,6,FALSE),"")</f>
        <v>57.62</v>
      </c>
      <c r="C7" s="11">
        <f>IFERROR(VLOOKUP(A7,Dior!A:F,6,FALSE),"")</f>
        <v>492</v>
      </c>
      <c r="D7" s="11">
        <f t="shared" si="0"/>
        <v>-1.973460360666901E-2</v>
      </c>
      <c r="E7" s="11">
        <f t="shared" si="1"/>
        <v>-2.5742574257425765E-2</v>
      </c>
      <c r="H7" s="10" t="s">
        <v>130</v>
      </c>
      <c r="I7" s="9">
        <f>I5-I6</f>
        <v>1.0867402119835605</v>
      </c>
      <c r="J7" s="9">
        <f>J5-J6</f>
        <v>0.19288369549201456</v>
      </c>
    </row>
    <row r="8" spans="1:10" x14ac:dyDescent="0.3">
      <c r="A8" t="s">
        <v>19</v>
      </c>
      <c r="B8" s="11">
        <f>IFERROR(VLOOKUP(A8,Mercedes!A:F,6,FALSE),"")</f>
        <v>58.78</v>
      </c>
      <c r="C8" s="11">
        <f>IFERROR(VLOOKUP(A8,Dior!A:F,6,FALSE),"")</f>
        <v>505</v>
      </c>
      <c r="D8" s="11">
        <f t="shared" si="0"/>
        <v>1.7130991521024486E-2</v>
      </c>
      <c r="E8" s="11">
        <f t="shared" si="1"/>
        <v>-1.3671875E-2</v>
      </c>
      <c r="H8" s="9"/>
      <c r="I8" s="9"/>
      <c r="J8" s="9"/>
    </row>
    <row r="9" spans="1:10" x14ac:dyDescent="0.3">
      <c r="A9" t="s">
        <v>21</v>
      </c>
      <c r="B9" s="11">
        <f>IFERROR(VLOOKUP(A9,Mercedes!A:F,6,FALSE),"")</f>
        <v>57.79</v>
      </c>
      <c r="C9" s="11">
        <f>IFERROR(VLOOKUP(A9,Dior!A:F,6,FALSE),"")</f>
        <v>512</v>
      </c>
      <c r="D9" s="11">
        <f t="shared" si="0"/>
        <v>-8.7478559176672466E-3</v>
      </c>
      <c r="E9" s="11">
        <f t="shared" si="1"/>
        <v>-6.8243858052775219E-2</v>
      </c>
      <c r="H9" s="10" t="s">
        <v>131</v>
      </c>
      <c r="I9" s="9">
        <f>_xlfn.PERCENTILE.INC(D:D,0.75)</f>
        <v>3.0461595963371391E-2</v>
      </c>
      <c r="J9" s="9">
        <f>_xlfn.PERCENTILE.INC(E:E,0.75)</f>
        <v>1.9254868690794513E-2</v>
      </c>
    </row>
    <row r="10" spans="1:10" x14ac:dyDescent="0.3">
      <c r="A10" t="s">
        <v>23</v>
      </c>
      <c r="B10" s="11">
        <f>IFERROR(VLOOKUP(A10,Mercedes!A:F,6,FALSE),"")</f>
        <v>58.3</v>
      </c>
      <c r="C10" s="11">
        <f>IFERROR(VLOOKUP(A10,Dior!A:F,6,FALSE),"")</f>
        <v>549.5</v>
      </c>
      <c r="D10" s="11">
        <f t="shared" si="0"/>
        <v>-8.840530431825977E-3</v>
      </c>
      <c r="E10" s="11">
        <f t="shared" si="1"/>
        <v>-2.9151943462897512E-2</v>
      </c>
      <c r="H10" s="10" t="s">
        <v>132</v>
      </c>
      <c r="I10" s="9">
        <f>_xlfn.PERCENTILE.INC(D:D,0.25)</f>
        <v>-2.6816452255843393E-2</v>
      </c>
      <c r="J10" s="9">
        <f>_xlfn.PERCENTILE.INC(E:E,0.25)</f>
        <v>-2.3699901416076724E-2</v>
      </c>
    </row>
    <row r="11" spans="1:10" x14ac:dyDescent="0.3">
      <c r="A11" t="s">
        <v>25</v>
      </c>
      <c r="B11" s="11">
        <f>IFERROR(VLOOKUP(A11,Mercedes!A:F,6,FALSE),"")</f>
        <v>58.82</v>
      </c>
      <c r="C11" s="11">
        <f>IFERROR(VLOOKUP(A11,Dior!A:F,6,FALSE),"")</f>
        <v>566</v>
      </c>
      <c r="D11" s="11">
        <f t="shared" si="0"/>
        <v>-2.5675004141129665E-2</v>
      </c>
      <c r="E11" s="11">
        <f t="shared" si="1"/>
        <v>-6.831275720164609E-2</v>
      </c>
      <c r="H11" s="10" t="s">
        <v>133</v>
      </c>
      <c r="I11" s="9">
        <f>I9-I10</f>
        <v>5.7278048219214783E-2</v>
      </c>
      <c r="J11" s="9">
        <f>J9-J10</f>
        <v>4.2954770106871237E-2</v>
      </c>
    </row>
    <row r="12" spans="1:10" x14ac:dyDescent="0.3">
      <c r="A12" t="s">
        <v>27</v>
      </c>
      <c r="B12" s="11">
        <f>IFERROR(VLOOKUP(A12,Mercedes!A:F,6,FALSE),"")</f>
        <v>60.37</v>
      </c>
      <c r="C12" s="11">
        <f>IFERROR(VLOOKUP(A12,Dior!A:F,6,FALSE),"")</f>
        <v>607.5</v>
      </c>
      <c r="D12" s="11">
        <f t="shared" si="0"/>
        <v>-2.5189730340707261E-2</v>
      </c>
      <c r="E12" s="11">
        <f t="shared" si="1"/>
        <v>9.9750623441396957E-3</v>
      </c>
      <c r="H12" s="10" t="s">
        <v>134</v>
      </c>
      <c r="I12" s="9">
        <f>I11*1.5</f>
        <v>8.5917072328822175E-2</v>
      </c>
      <c r="J12" s="9">
        <f>J11*1.5</f>
        <v>6.4432155160306856E-2</v>
      </c>
    </row>
    <row r="13" spans="1:10" x14ac:dyDescent="0.3">
      <c r="A13" t="s">
        <v>29</v>
      </c>
      <c r="B13" s="11">
        <f>IFERROR(VLOOKUP(A13,Mercedes!A:F,6,FALSE),"")</f>
        <v>61.93</v>
      </c>
      <c r="C13" s="11">
        <f>IFERROR(VLOOKUP(A13,Dior!A:F,6,FALSE),"")</f>
        <v>601.5</v>
      </c>
      <c r="D13" s="11">
        <f t="shared" si="0"/>
        <v>4.4350758853288319E-2</v>
      </c>
      <c r="E13" s="11">
        <f t="shared" si="1"/>
        <v>3.4393809114359408E-2</v>
      </c>
      <c r="H13" s="10" t="s">
        <v>135</v>
      </c>
      <c r="I13" s="9">
        <f>I9+I12</f>
        <v>0.11637866829219357</v>
      </c>
      <c r="J13" s="9">
        <f>J9+J12</f>
        <v>8.3687023851101369E-2</v>
      </c>
    </row>
    <row r="14" spans="1:10" x14ac:dyDescent="0.3">
      <c r="A14" t="s">
        <v>31</v>
      </c>
      <c r="B14" s="11">
        <f>IFERROR(VLOOKUP(A14,Mercedes!A:F,6,FALSE),"")</f>
        <v>59.3</v>
      </c>
      <c r="C14" s="11">
        <f>IFERROR(VLOOKUP(A14,Dior!A:F,6,FALSE),"")</f>
        <v>581.5</v>
      </c>
      <c r="D14" s="11">
        <f t="shared" si="0"/>
        <v>-9.024064171123114E-3</v>
      </c>
      <c r="E14" s="11">
        <f t="shared" si="1"/>
        <v>-9.3696763202725242E-3</v>
      </c>
      <c r="H14" s="10" t="s">
        <v>136</v>
      </c>
      <c r="I14" s="9">
        <f>I10-I12</f>
        <v>-0.11273352458466557</v>
      </c>
      <c r="J14" s="9">
        <f>J10-J12</f>
        <v>-8.813205657638358E-2</v>
      </c>
    </row>
    <row r="15" spans="1:10" x14ac:dyDescent="0.3">
      <c r="A15" t="s">
        <v>33</v>
      </c>
      <c r="B15" s="11">
        <f>IFERROR(VLOOKUP(A15,Mercedes!A:F,6,FALSE),"")</f>
        <v>59.84</v>
      </c>
      <c r="C15" s="11">
        <f>IFERROR(VLOOKUP(A15,Dior!A:F,6,FALSE),"")</f>
        <v>587</v>
      </c>
      <c r="D15" s="11">
        <f t="shared" si="0"/>
        <v>-2.9988652942129934E-2</v>
      </c>
      <c r="E15" s="11">
        <f t="shared" si="1"/>
        <v>1.1197243755383335E-2</v>
      </c>
      <c r="H15" s="10" t="s">
        <v>137</v>
      </c>
      <c r="I15" s="9">
        <f>AVERAGE(D:D)</f>
        <v>-1.9974898183244424E-2</v>
      </c>
      <c r="J15" s="9">
        <f>AVERAGE(E:E)</f>
        <v>-1.9434423255686151E-3</v>
      </c>
    </row>
    <row r="16" spans="1:10" x14ac:dyDescent="0.3">
      <c r="A16" t="s">
        <v>35</v>
      </c>
      <c r="B16" s="11">
        <f>IFERROR(VLOOKUP(A16,Mercedes!A:F,6,FALSE),"")</f>
        <v>61.69</v>
      </c>
      <c r="C16" s="11">
        <f>IFERROR(VLOOKUP(A16,Dior!A:F,6,FALSE),"")</f>
        <v>580.5</v>
      </c>
      <c r="D16" s="11">
        <f t="shared" si="0"/>
        <v>1.4610389610389962E-3</v>
      </c>
      <c r="E16" s="11">
        <f t="shared" si="1"/>
        <v>-9.9814139189102757E-4</v>
      </c>
      <c r="H16" s="10" t="s">
        <v>138</v>
      </c>
      <c r="I16" s="9">
        <f>(I6-I15)/I20</f>
        <v>-6.8246331608687436</v>
      </c>
      <c r="J16" s="9">
        <f>(J6-J15)/J20</f>
        <v>-2.453791218180895</v>
      </c>
    </row>
    <row r="17" spans="1:10" x14ac:dyDescent="0.3">
      <c r="A17" t="s">
        <v>37</v>
      </c>
      <c r="B17" s="11">
        <f>IFERROR(VLOOKUP(A17,Mercedes!A:F,6,FALSE),"")</f>
        <v>61.6</v>
      </c>
      <c r="C17" s="11">
        <f>IFERROR(VLOOKUP(A17,Dior!A:F,6,FALSE),"")</f>
        <v>581.08000000000004</v>
      </c>
      <c r="D17" s="11">
        <f t="shared" si="0"/>
        <v>5.9147180192572257E-2</v>
      </c>
      <c r="E17" s="11">
        <f t="shared" si="1"/>
        <v>-4.249777229419216E-3</v>
      </c>
      <c r="H17" s="10" t="s">
        <v>139</v>
      </c>
      <c r="I17" s="9">
        <f>(I5-I15)/I20</f>
        <v>0.74313553628375695</v>
      </c>
      <c r="J17" s="9">
        <f>(J5-J15)/J20</f>
        <v>2.4700935389777081</v>
      </c>
    </row>
    <row r="18" spans="1:10" x14ac:dyDescent="0.3">
      <c r="A18" t="s">
        <v>39</v>
      </c>
      <c r="B18" s="11">
        <f>IFERROR(VLOOKUP(A18,Mercedes!A:F,6,FALSE),"")</f>
        <v>58.16</v>
      </c>
      <c r="C18" s="11">
        <f>IFERROR(VLOOKUP(A18,Dior!A:F,6,FALSE),"")</f>
        <v>583.55999999999995</v>
      </c>
      <c r="D18" s="11">
        <f t="shared" si="0"/>
        <v>1.999298491757262E-2</v>
      </c>
      <c r="E18" s="11">
        <f t="shared" si="1"/>
        <v>1.4639913760127854E-2</v>
      </c>
      <c r="H18" s="10" t="s">
        <v>140</v>
      </c>
      <c r="I18" s="9">
        <f>AVEDEV(D:D)*55/54</f>
        <v>5.4600631787838826E-2</v>
      </c>
      <c r="J18" s="9">
        <f>AVEDEV(E:E)*55/54</f>
        <v>2.9934404220436688E-2</v>
      </c>
    </row>
    <row r="19" spans="1:10" x14ac:dyDescent="0.3">
      <c r="A19" t="s">
        <v>41</v>
      </c>
      <c r="B19" s="11">
        <f>IFERROR(VLOOKUP(A19,Mercedes!A:F,6,FALSE),"")</f>
        <v>57.02</v>
      </c>
      <c r="C19" s="11">
        <f>IFERROR(VLOOKUP(A19,Dior!A:F,6,FALSE),"")</f>
        <v>575.14</v>
      </c>
      <c r="D19" s="11">
        <f t="shared" si="0"/>
        <v>-4.2646071188717216E-2</v>
      </c>
      <c r="E19" s="11">
        <f t="shared" si="1"/>
        <v>-2.762561709609801E-2</v>
      </c>
      <c r="H19" s="10" t="s">
        <v>141</v>
      </c>
      <c r="I19" s="9">
        <f>VAR(D:D)</f>
        <v>2.062128740232224E-2</v>
      </c>
      <c r="J19" s="9">
        <f>VAR(E:E)</f>
        <v>1.5345296237000816E-3</v>
      </c>
    </row>
    <row r="20" spans="1:10" x14ac:dyDescent="0.3">
      <c r="A20" t="s">
        <v>43</v>
      </c>
      <c r="B20" s="11">
        <f>IFERROR(VLOOKUP(A20,Mercedes!A:F,6,FALSE),"")</f>
        <v>59.56</v>
      </c>
      <c r="C20" s="11">
        <f>IFERROR(VLOOKUP(A20,Dior!A:F,6,FALSE),"")</f>
        <v>591.48</v>
      </c>
      <c r="D20" s="11">
        <f t="shared" si="0"/>
        <v>2.3543564186286448E-2</v>
      </c>
      <c r="E20" s="11">
        <f t="shared" si="1"/>
        <v>6.1293332376372689E-2</v>
      </c>
      <c r="H20" s="10" t="s">
        <v>142</v>
      </c>
      <c r="I20" s="9">
        <f>_xlfn.STDEV.S(D:D)</f>
        <v>0.14360113997570575</v>
      </c>
      <c r="J20" s="9">
        <f>_xlfn.STDEV.S(E:E)</f>
        <v>3.9173072686477906E-2</v>
      </c>
    </row>
    <row r="21" spans="1:10" x14ac:dyDescent="0.3">
      <c r="A21" t="s">
        <v>45</v>
      </c>
      <c r="B21" s="11">
        <f>IFERROR(VLOOKUP(A21,Mercedes!A:F,6,FALSE),"")</f>
        <v>58.19</v>
      </c>
      <c r="C21" s="11">
        <f>IFERROR(VLOOKUP(A21,Dior!A:F,6,FALSE),"")</f>
        <v>557.32000000000005</v>
      </c>
      <c r="D21" s="11">
        <f t="shared" si="0"/>
        <v>3.5225048923678948E-2</v>
      </c>
      <c r="E21" s="11">
        <f t="shared" si="1"/>
        <v>-7.9390508740074806E-3</v>
      </c>
      <c r="H21" s="10" t="s">
        <v>143</v>
      </c>
      <c r="I21" s="9">
        <f>I20/I15</f>
        <v>-7.1890799471590263</v>
      </c>
      <c r="J21" s="9">
        <f>J20/J15</f>
        <v>-20.156539852561146</v>
      </c>
    </row>
    <row r="22" spans="1:10" x14ac:dyDescent="0.3">
      <c r="A22" t="s">
        <v>47</v>
      </c>
      <c r="B22" s="11">
        <f>IFERROR(VLOOKUP(A22,Mercedes!A:F,6,FALSE),"")</f>
        <v>56.21</v>
      </c>
      <c r="C22" s="11">
        <f>IFERROR(VLOOKUP(A22,Dior!A:F,6,FALSE),"")</f>
        <v>561.78</v>
      </c>
      <c r="D22" s="11">
        <f t="shared" si="0"/>
        <v>4.5767441860465219E-2</v>
      </c>
      <c r="E22" s="11">
        <f t="shared" si="1"/>
        <v>-4.3774922463447608E-3</v>
      </c>
    </row>
    <row r="23" spans="1:10" x14ac:dyDescent="0.3">
      <c r="A23" t="s">
        <v>49</v>
      </c>
      <c r="B23" s="11">
        <f>IFERROR(VLOOKUP(A23,Mercedes!A:F,6,FALSE),"")</f>
        <v>53.75</v>
      </c>
      <c r="C23" s="11">
        <f>IFERROR(VLOOKUP(A23,Dior!A:F,6,FALSE),"")</f>
        <v>564.25</v>
      </c>
      <c r="D23" s="11">
        <f t="shared" si="0"/>
        <v>7.120104927862192E-3</v>
      </c>
      <c r="E23" s="11">
        <f t="shared" si="1"/>
        <v>1.7858753495084256E-2</v>
      </c>
      <c r="H23" s="10" t="s">
        <v>145</v>
      </c>
      <c r="I23" s="9">
        <f>_xlfn.COVARIANCE.S(D:D,E:E)</f>
        <v>9.5706809093475489E-4</v>
      </c>
    </row>
    <row r="24" spans="1:10" x14ac:dyDescent="0.3">
      <c r="A24" t="s">
        <v>51</v>
      </c>
      <c r="B24" s="11">
        <f>IFERROR(VLOOKUP(A24,Mercedes!A:F,6,FALSE),"")</f>
        <v>53.37</v>
      </c>
      <c r="C24" s="11">
        <f>IFERROR(VLOOKUP(A24,Dior!A:F,6,FALSE),"")</f>
        <v>554.35</v>
      </c>
      <c r="D24" s="11">
        <f t="shared" si="0"/>
        <v>3.1954887218044181E-3</v>
      </c>
      <c r="E24" s="11">
        <f t="shared" si="1"/>
        <v>9.4817711419204587E-2</v>
      </c>
      <c r="H24" s="10" t="s">
        <v>146</v>
      </c>
      <c r="I24" s="9">
        <f>CORREL(D:D,E:E)</f>
        <v>0.57094694591900297</v>
      </c>
    </row>
    <row r="25" spans="1:10" x14ac:dyDescent="0.3">
      <c r="A25" t="s">
        <v>53</v>
      </c>
      <c r="B25" s="11">
        <f>IFERROR(VLOOKUP(A25,Mercedes!A:F,6,FALSE),"")</f>
        <v>53.2</v>
      </c>
      <c r="C25" s="11">
        <f>IFERROR(VLOOKUP(A25,Dior!A:F,6,FALSE),"")</f>
        <v>506.34</v>
      </c>
      <c r="D25" s="11">
        <f t="shared" si="0"/>
        <v>-3.9884497383143702E-2</v>
      </c>
      <c r="E25" s="11">
        <f t="shared" si="1"/>
        <v>-2.386644046884645E-2</v>
      </c>
    </row>
    <row r="26" spans="1:10" x14ac:dyDescent="0.3">
      <c r="A26" t="s">
        <v>55</v>
      </c>
      <c r="B26" s="11">
        <f>IFERROR(VLOOKUP(A26,Mercedes!A:F,6,FALSE),"")</f>
        <v>55.41</v>
      </c>
      <c r="C26" s="11">
        <f>IFERROR(VLOOKUP(A26,Dior!A:F,6,FALSE),"")</f>
        <v>518.72</v>
      </c>
      <c r="D26" s="11">
        <f t="shared" si="0"/>
        <v>3.919729932483107E-2</v>
      </c>
      <c r="E26" s="11">
        <f t="shared" si="1"/>
        <v>7.774776646582171E-2</v>
      </c>
    </row>
    <row r="27" spans="1:10" x14ac:dyDescent="0.3">
      <c r="A27" t="s">
        <v>57</v>
      </c>
      <c r="B27" s="11">
        <f>IFERROR(VLOOKUP(A27,Mercedes!A:F,6,FALSE),"")</f>
        <v>53.32</v>
      </c>
      <c r="C27" s="11">
        <f>IFERROR(VLOOKUP(A27,Dior!A:F,6,FALSE),"")</f>
        <v>481.3</v>
      </c>
      <c r="D27" s="11">
        <f t="shared" si="0"/>
        <v>3.5742035742035716E-2</v>
      </c>
      <c r="E27" s="11">
        <f t="shared" si="1"/>
        <v>4.157139887757122E-4</v>
      </c>
    </row>
    <row r="28" spans="1:10" x14ac:dyDescent="0.3">
      <c r="A28" t="s">
        <v>59</v>
      </c>
      <c r="B28" s="11">
        <f>IFERROR(VLOOKUP(A28,Mercedes!A:F,6,FALSE),"")</f>
        <v>51.48</v>
      </c>
      <c r="C28" s="11">
        <f>IFERROR(VLOOKUP(A28,Dior!A:F,6,FALSE),"")</f>
        <v>481.1</v>
      </c>
      <c r="D28" s="11">
        <f t="shared" si="0"/>
        <v>-4.0626813697040021E-3</v>
      </c>
      <c r="E28" s="11">
        <f t="shared" si="1"/>
        <v>3.0545797275297826E-2</v>
      </c>
    </row>
    <row r="29" spans="1:10" x14ac:dyDescent="0.3">
      <c r="A29" t="s">
        <v>61</v>
      </c>
      <c r="B29" s="11">
        <f>IFERROR(VLOOKUP(A29,Mercedes!A:F,6,FALSE),"")</f>
        <v>51.69</v>
      </c>
      <c r="C29" s="11">
        <f>IFERROR(VLOOKUP(A29,Dior!A:F,6,FALSE),"")</f>
        <v>466.84</v>
      </c>
      <c r="D29" s="11">
        <f t="shared" si="0"/>
        <v>-2.3242630385487573E-2</v>
      </c>
      <c r="E29" s="11">
        <f t="shared" si="1"/>
        <v>-8.5609108809181489E-4</v>
      </c>
    </row>
    <row r="30" spans="1:10" x14ac:dyDescent="0.3">
      <c r="A30" t="s">
        <v>63</v>
      </c>
      <c r="B30" s="11">
        <f>IFERROR(VLOOKUP(A30,Mercedes!A:F,6,FALSE),"")</f>
        <v>52.92</v>
      </c>
      <c r="C30" s="11">
        <f>IFERROR(VLOOKUP(A30,Dior!A:F,6,FALSE),"")</f>
        <v>467.24</v>
      </c>
      <c r="D30" s="11">
        <f t="shared" si="0"/>
        <v>-8.0599812558574957E-3</v>
      </c>
      <c r="E30" s="11">
        <f t="shared" si="1"/>
        <v>-2.0748627237288764E-2</v>
      </c>
    </row>
    <row r="31" spans="1:10" x14ac:dyDescent="0.3">
      <c r="A31" t="s">
        <v>65</v>
      </c>
      <c r="B31" s="11">
        <f>IFERROR(VLOOKUP(A31,Mercedes!A:F,6,FALSE),"")</f>
        <v>53.35</v>
      </c>
      <c r="C31" s="11">
        <f>IFERROR(VLOOKUP(A31,Dior!A:F,6,FALSE),"")</f>
        <v>477.14</v>
      </c>
      <c r="D31" s="11">
        <f t="shared" si="0"/>
        <v>-3.2462821907870865E-2</v>
      </c>
      <c r="E31" s="11">
        <f t="shared" si="1"/>
        <v>1.9029109625611218E-2</v>
      </c>
    </row>
    <row r="32" spans="1:10" x14ac:dyDescent="0.3">
      <c r="A32" t="s">
        <v>67</v>
      </c>
      <c r="B32" s="11">
        <f>IFERROR(VLOOKUP(A32,Mercedes!A:F,6,FALSE),"")</f>
        <v>55.14</v>
      </c>
      <c r="C32" s="11">
        <f>IFERROR(VLOOKUP(A32,Dior!A:F,6,FALSE),"")</f>
        <v>468.23</v>
      </c>
      <c r="D32" s="11">
        <f t="shared" si="0"/>
        <v>3.0461595963371391E-2</v>
      </c>
      <c r="E32" s="11">
        <f t="shared" si="1"/>
        <v>3.8180971597082225E-2</v>
      </c>
    </row>
    <row r="33" spans="1:5" x14ac:dyDescent="0.3">
      <c r="A33" t="s">
        <v>69</v>
      </c>
      <c r="B33" s="11">
        <f>IFERROR(VLOOKUP(A33,Mercedes!A:F,6,FALSE),"")</f>
        <v>53.51</v>
      </c>
      <c r="C33" s="11">
        <f>IFERROR(VLOOKUP(A33,Dior!A:F,6,FALSE),"")</f>
        <v>451.01</v>
      </c>
      <c r="D33" s="11">
        <f t="shared" si="0"/>
        <v>2.6669224865694563E-2</v>
      </c>
      <c r="E33" s="11">
        <f t="shared" si="1"/>
        <v>1.6520915975477779E-2</v>
      </c>
    </row>
    <row r="34" spans="1:5" x14ac:dyDescent="0.3">
      <c r="A34" t="s">
        <v>71</v>
      </c>
      <c r="B34" s="11">
        <f>IFERROR(VLOOKUP(A34,Mercedes!A:F,6,FALSE),"")</f>
        <v>52.12</v>
      </c>
      <c r="C34" s="11">
        <f>IFERROR(VLOOKUP(A34,Dior!A:F,6,FALSE),"")</f>
        <v>443.68</v>
      </c>
      <c r="D34" s="11">
        <f t="shared" si="0"/>
        <v>6.1507128309572279E-2</v>
      </c>
      <c r="E34" s="11">
        <f t="shared" si="1"/>
        <v>1.7708046609780759E-2</v>
      </c>
    </row>
    <row r="35" spans="1:5" x14ac:dyDescent="0.3">
      <c r="A35" t="s">
        <v>73</v>
      </c>
      <c r="B35" s="11">
        <f>IFERROR(VLOOKUP(A35,Mercedes!A:F,6,FALSE),"")</f>
        <v>49.1</v>
      </c>
      <c r="C35" s="11">
        <f>IFERROR(VLOOKUP(A35,Dior!A:F,6,FALSE),"")</f>
        <v>435.96</v>
      </c>
      <c r="D35" s="11">
        <f t="shared" si="0"/>
        <v>-0.11515588394305276</v>
      </c>
      <c r="E35" s="11">
        <f t="shared" si="1"/>
        <v>-5.5750487329434772E-2</v>
      </c>
    </row>
    <row r="36" spans="1:5" x14ac:dyDescent="0.3">
      <c r="A36" t="s">
        <v>75</v>
      </c>
      <c r="B36" s="11">
        <f>IFERROR(VLOOKUP(A36,Mercedes!A:F,6,FALSE),"")</f>
        <v>55.49</v>
      </c>
      <c r="C36" s="11">
        <f>IFERROR(VLOOKUP(A36,Dior!A:F,6,FALSE),"")</f>
        <v>461.7</v>
      </c>
      <c r="D36" s="11">
        <f t="shared" si="0"/>
        <v>8.1044223650886593E-2</v>
      </c>
      <c r="E36" s="11">
        <f t="shared" si="1"/>
        <v>3.8765270996917511E-2</v>
      </c>
    </row>
    <row r="37" spans="1:5" x14ac:dyDescent="0.3">
      <c r="A37" t="s">
        <v>77</v>
      </c>
      <c r="B37" s="11">
        <f>IFERROR(VLOOKUP(A37,Mercedes!A:F,6,FALSE),"")</f>
        <v>51.33</v>
      </c>
      <c r="C37" s="11">
        <f>IFERROR(VLOOKUP(A37,Dior!A:F,6,FALSE),"")</f>
        <v>444.47</v>
      </c>
      <c r="D37" s="11">
        <f t="shared" si="0"/>
        <v>-3.3515345509320338E-2</v>
      </c>
      <c r="E37" s="11">
        <f t="shared" si="1"/>
        <v>-2.6032650377999289E-2</v>
      </c>
    </row>
    <row r="38" spans="1:5" x14ac:dyDescent="0.3">
      <c r="A38" t="s">
        <v>79</v>
      </c>
      <c r="B38" s="11">
        <f>IFERROR(VLOOKUP(A38,Mercedes!A:F,6,FALSE),"")</f>
        <v>53.11</v>
      </c>
      <c r="C38" s="11">
        <f>IFERROR(VLOOKUP(A38,Dior!A:F,6,FALSE),"")</f>
        <v>456.35</v>
      </c>
      <c r="D38" s="11">
        <f t="shared" si="0"/>
        <v>6.0503194888178902E-2</v>
      </c>
      <c r="E38" s="11">
        <f t="shared" si="1"/>
        <v>2.2633053221288613E-2</v>
      </c>
    </row>
    <row r="39" spans="1:5" x14ac:dyDescent="0.3">
      <c r="A39" t="s">
        <v>81</v>
      </c>
      <c r="B39" s="11">
        <f>IFERROR(VLOOKUP(A39,Mercedes!A:F,6,FALSE),"")</f>
        <v>50.08</v>
      </c>
      <c r="C39" s="11">
        <f>IFERROR(VLOOKUP(A39,Dior!A:F,6,FALSE),"")</f>
        <v>446.25</v>
      </c>
      <c r="D39" s="11">
        <f t="shared" si="0"/>
        <v>-8.1204198851257958E-3</v>
      </c>
      <c r="E39" s="11">
        <f t="shared" si="1"/>
        <v>5.3271336858006002E-2</v>
      </c>
    </row>
    <row r="40" spans="1:5" x14ac:dyDescent="0.3">
      <c r="A40" t="s">
        <v>83</v>
      </c>
      <c r="B40" s="11">
        <f>IFERROR(VLOOKUP(A40,Mercedes!A:F,6,FALSE),"")</f>
        <v>50.49</v>
      </c>
      <c r="C40" s="11">
        <f>IFERROR(VLOOKUP(A40,Dior!A:F,6,FALSE),"")</f>
        <v>423.68</v>
      </c>
      <c r="D40" s="11">
        <f t="shared" si="0"/>
        <v>3.824799506477472E-2</v>
      </c>
      <c r="E40" s="11">
        <f t="shared" si="1"/>
        <v>6.1029184773573331E-3</v>
      </c>
    </row>
    <row r="41" spans="1:5" x14ac:dyDescent="0.3">
      <c r="A41" t="s">
        <v>85</v>
      </c>
      <c r="B41" s="11">
        <f>IFERROR(VLOOKUP(A41,Mercedes!A:F,6,FALSE),"")</f>
        <v>48.63</v>
      </c>
      <c r="C41" s="11">
        <f>IFERROR(VLOOKUP(A41,Dior!A:F,6,FALSE),"")</f>
        <v>421.11</v>
      </c>
      <c r="D41" s="11">
        <f t="shared" si="0"/>
        <v>-4.3093270365997638E-2</v>
      </c>
      <c r="E41" s="11">
        <f t="shared" si="1"/>
        <v>-1.937451971217663E-2</v>
      </c>
    </row>
    <row r="42" spans="1:5" x14ac:dyDescent="0.3">
      <c r="A42" t="s">
        <v>87</v>
      </c>
      <c r="B42" s="11">
        <f>IFERROR(VLOOKUP(A42,Mercedes!A:F,6,FALSE),"")</f>
        <v>50.82</v>
      </c>
      <c r="C42" s="11">
        <f>IFERROR(VLOOKUP(A42,Dior!A:F,6,FALSE),"")</f>
        <v>429.43</v>
      </c>
      <c r="D42" s="11">
        <f t="shared" si="0"/>
        <v>-1.0321324245374908E-2</v>
      </c>
      <c r="E42" s="11">
        <f t="shared" si="1"/>
        <v>-9.5714746990174238E-3</v>
      </c>
    </row>
    <row r="43" spans="1:5" x14ac:dyDescent="0.3">
      <c r="A43" t="s">
        <v>89</v>
      </c>
      <c r="B43" s="11">
        <f>IFERROR(VLOOKUP(A43,Mercedes!A:F,6,FALSE),"")</f>
        <v>51.35</v>
      </c>
      <c r="C43" s="11">
        <f>IFERROR(VLOOKUP(A43,Dior!A:F,6,FALSE),"")</f>
        <v>433.58</v>
      </c>
      <c r="D43" s="11">
        <f t="shared" si="0"/>
        <v>-2.3578627115421247E-2</v>
      </c>
      <c r="E43" s="11">
        <f t="shared" si="1"/>
        <v>-2.3644388398486815E-2</v>
      </c>
    </row>
    <row r="44" spans="1:5" x14ac:dyDescent="0.3">
      <c r="A44" t="s">
        <v>91</v>
      </c>
      <c r="B44" s="11">
        <f>IFERROR(VLOOKUP(A44,Mercedes!A:F,6,FALSE),"")</f>
        <v>52.59</v>
      </c>
      <c r="C44" s="11">
        <f>IFERROR(VLOOKUP(A44,Dior!A:F,6,FALSE),"")</f>
        <v>444.08</v>
      </c>
      <c r="D44" s="11">
        <f t="shared" si="0"/>
        <v>4.05619311436487E-2</v>
      </c>
      <c r="E44" s="11">
        <f t="shared" si="1"/>
        <v>5.3882725832012923E-3</v>
      </c>
    </row>
    <row r="45" spans="1:5" x14ac:dyDescent="0.3">
      <c r="A45" t="s">
        <v>93</v>
      </c>
      <c r="B45" s="11">
        <f>IFERROR(VLOOKUP(A45,Mercedes!A:F,6,FALSE),"")</f>
        <v>50.54</v>
      </c>
      <c r="C45" s="11">
        <f>IFERROR(VLOOKUP(A45,Dior!A:F,6,FALSE),"")</f>
        <v>441.7</v>
      </c>
      <c r="D45" s="11">
        <f t="shared" si="0"/>
        <v>-3.7333333333333329E-2</v>
      </c>
      <c r="E45" s="11">
        <f t="shared" si="1"/>
        <v>-5.1046276801443691E-2</v>
      </c>
    </row>
    <row r="46" spans="1:5" x14ac:dyDescent="0.3">
      <c r="A46" t="s">
        <v>95</v>
      </c>
      <c r="B46" s="11">
        <f>IFERROR(VLOOKUP(A46,Mercedes!A:F,6,FALSE),"")</f>
        <v>52.5</v>
      </c>
      <c r="C46" s="11">
        <f>IFERROR(VLOOKUP(A46,Dior!A:F,6,FALSE),"")</f>
        <v>465.46</v>
      </c>
      <c r="D46" s="11" t="str">
        <f t="shared" si="0"/>
        <v/>
      </c>
      <c r="E46" s="11" t="str">
        <f t="shared" si="1"/>
        <v/>
      </c>
    </row>
    <row r="47" spans="1:5" x14ac:dyDescent="0.3">
      <c r="A47" t="s">
        <v>97</v>
      </c>
      <c r="B47" s="11">
        <f>IFERROR(VLOOKUP(A47,Mercedes!A:F,6,FALSE),"")</f>
        <v>0</v>
      </c>
      <c r="C47" s="11" t="str">
        <f>IFERROR(VLOOKUP(A47,Dior!A:F,6,FALSE),"")</f>
        <v/>
      </c>
      <c r="D47" s="11">
        <f t="shared" si="0"/>
        <v>-1</v>
      </c>
      <c r="E47" s="11" t="str">
        <f t="shared" si="1"/>
        <v/>
      </c>
    </row>
    <row r="48" spans="1:5" x14ac:dyDescent="0.3">
      <c r="A48" t="s">
        <v>99</v>
      </c>
      <c r="B48" s="11">
        <f>IFERROR(VLOOKUP(A48,Mercedes!A:F,6,FALSE),"")</f>
        <v>47</v>
      </c>
      <c r="C48" s="11">
        <f>IFERROR(VLOOKUP(A48,Dior!A:F,6,FALSE),"")</f>
        <v>454.77</v>
      </c>
      <c r="D48" s="11">
        <f t="shared" si="0"/>
        <v>-4.1794087665647295E-2</v>
      </c>
      <c r="E48" s="11">
        <f t="shared" si="1"/>
        <v>-4.7707626654994728E-3</v>
      </c>
    </row>
    <row r="49" spans="1:5" x14ac:dyDescent="0.3">
      <c r="A49" t="s">
        <v>101</v>
      </c>
      <c r="B49" s="11">
        <f>IFERROR(VLOOKUP(A49,Mercedes!A:F,6,FALSE),"")</f>
        <v>49.05</v>
      </c>
      <c r="C49" s="11">
        <f>IFERROR(VLOOKUP(A49,Dior!A:F,6,FALSE),"")</f>
        <v>456.95</v>
      </c>
      <c r="D49" s="11">
        <f t="shared" si="0"/>
        <v>-2.3686305732484203E-2</v>
      </c>
      <c r="E49" s="11">
        <f t="shared" si="1"/>
        <v>1.9932145886344399E-2</v>
      </c>
    </row>
    <row r="50" spans="1:5" x14ac:dyDescent="0.3">
      <c r="A50" t="s">
        <v>103</v>
      </c>
      <c r="B50" s="11">
        <f>IFERROR(VLOOKUP(A50,Mercedes!A:F,6,FALSE),"")</f>
        <v>50.24</v>
      </c>
      <c r="C50" s="11">
        <f>IFERROR(VLOOKUP(A50,Dior!A:F,6,FALSE),"")</f>
        <v>448.02</v>
      </c>
      <c r="D50" s="11">
        <f t="shared" si="0"/>
        <v>8.6740211983560522E-2</v>
      </c>
      <c r="E50" s="11">
        <f t="shared" si="1"/>
        <v>3.5094609893029594E-2</v>
      </c>
    </row>
    <row r="51" spans="1:5" x14ac:dyDescent="0.3">
      <c r="A51" t="s">
        <v>105</v>
      </c>
      <c r="B51" s="11">
        <f>IFERROR(VLOOKUP(A51,Mercedes!A:F,6,FALSE),"")</f>
        <v>46.23</v>
      </c>
      <c r="C51" s="11">
        <f>IFERROR(VLOOKUP(A51,Dior!A:F,6,FALSE),"")</f>
        <v>432.83</v>
      </c>
      <c r="D51" s="11">
        <f t="shared" si="0"/>
        <v>4.2155094679891647E-2</v>
      </c>
      <c r="E51" s="11">
        <f t="shared" si="1"/>
        <v>-7.3783997774496624E-2</v>
      </c>
    </row>
    <row r="52" spans="1:5" x14ac:dyDescent="0.3">
      <c r="A52" t="s">
        <v>107</v>
      </c>
      <c r="B52" s="11">
        <f>IFERROR(VLOOKUP(A52,Mercedes!A:F,6,FALSE),"")</f>
        <v>44.36</v>
      </c>
      <c r="C52" s="11">
        <f>IFERROR(VLOOKUP(A52,Dior!A:F,6,FALSE),"")</f>
        <v>467.31</v>
      </c>
      <c r="D52" s="11">
        <f t="shared" si="0"/>
        <v>-1.7714791851195733E-2</v>
      </c>
      <c r="E52" s="11">
        <f t="shared" si="1"/>
        <v>-1.7595862764884007E-2</v>
      </c>
    </row>
    <row r="53" spans="1:5" x14ac:dyDescent="0.3">
      <c r="A53" t="s">
        <v>109</v>
      </c>
      <c r="B53" s="11">
        <f>IFERROR(VLOOKUP(A53,Mercedes!A:F,6,FALSE),"")</f>
        <v>45.16</v>
      </c>
      <c r="C53" s="11">
        <f>IFERROR(VLOOKUP(A53,Dior!A:F,6,FALSE),"")</f>
        <v>475.68</v>
      </c>
      <c r="D53" s="11">
        <f t="shared" si="0"/>
        <v>-0.11985967647632056</v>
      </c>
      <c r="E53" s="11">
        <f t="shared" si="1"/>
        <v>-9.8065984072809975E-2</v>
      </c>
    </row>
    <row r="54" spans="1:5" x14ac:dyDescent="0.3">
      <c r="A54" t="s">
        <v>111</v>
      </c>
      <c r="B54" s="11">
        <f>IFERROR(VLOOKUP(A54,Mercedes!A:F,6,FALSE),"")</f>
        <v>51.31</v>
      </c>
      <c r="C54" s="11">
        <f>IFERROR(VLOOKUP(A54,Dior!A:F,6,FALSE),"")</f>
        <v>527.4</v>
      </c>
      <c r="D54" s="11">
        <f t="shared" si="0"/>
        <v>-4.4684416309811903E-2</v>
      </c>
      <c r="E54" s="11">
        <f t="shared" si="1"/>
        <v>-2.7834101382488541E-2</v>
      </c>
    </row>
    <row r="55" spans="1:5" x14ac:dyDescent="0.3">
      <c r="A55" t="s">
        <v>113</v>
      </c>
      <c r="B55" s="11">
        <f>IFERROR(VLOOKUP(A55,Mercedes!A:F,6,FALSE),"")</f>
        <v>53.71</v>
      </c>
      <c r="C55" s="11">
        <f>IFERROR(VLOOKUP(A55,Dior!A:F,6,FALSE),"")</f>
        <v>542.5</v>
      </c>
      <c r="D55" s="11">
        <f t="shared" si="0"/>
        <v>-2.6816452255843393E-2</v>
      </c>
      <c r="E55" s="11">
        <f t="shared" si="1"/>
        <v>-4.4592883489621427E-3</v>
      </c>
    </row>
    <row r="56" spans="1:5" x14ac:dyDescent="0.3">
      <c r="A56" t="s">
        <v>115</v>
      </c>
      <c r="B56" s="11">
        <f>IFERROR(VLOOKUP(A56,Mercedes!A:F,6,FALSE),"")</f>
        <v>55.19</v>
      </c>
      <c r="C56" s="11">
        <f>IFERROR(VLOOKUP(A56,Dior!A:F,6,FALSE),"")</f>
        <v>544.92999999999995</v>
      </c>
      <c r="D56" s="11" t="str">
        <f t="shared" si="0"/>
        <v/>
      </c>
      <c r="E56" s="11" t="str">
        <f t="shared" si="1"/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opLeftCell="A46" workbookViewId="0">
      <selection activeCell="H30" sqref="H30"/>
    </sheetView>
  </sheetViews>
  <sheetFormatPr defaultRowHeight="14.4" x14ac:dyDescent="0.3"/>
  <cols>
    <col min="1" max="1" width="10.77734375" style="46" customWidth="1"/>
    <col min="2" max="5" width="8.88671875" style="11"/>
    <col min="6" max="6" width="10.6640625" style="11" customWidth="1"/>
    <col min="7" max="7" width="12.109375" style="23" bestFit="1" customWidth="1"/>
    <col min="16" max="16" width="10.77734375" style="42" customWidth="1"/>
    <col min="17" max="17" width="10.6640625" style="11" customWidth="1"/>
    <col min="18" max="18" width="8.88671875" style="19"/>
  </cols>
  <sheetData>
    <row r="1" spans="1:18" x14ac:dyDescent="0.3">
      <c r="A1" s="43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20" t="s">
        <v>7</v>
      </c>
      <c r="P1" s="41" t="s">
        <v>1</v>
      </c>
      <c r="Q1" s="12" t="s">
        <v>6</v>
      </c>
      <c r="R1" s="19" t="s">
        <v>148</v>
      </c>
    </row>
    <row r="2" spans="1:18" x14ac:dyDescent="0.3">
      <c r="A2" s="44" t="s">
        <v>149</v>
      </c>
      <c r="B2" s="14">
        <v>6699.8</v>
      </c>
      <c r="C2" s="14">
        <v>6810.44</v>
      </c>
      <c r="D2" s="14">
        <v>6636.04</v>
      </c>
      <c r="E2" s="14">
        <v>6795.99</v>
      </c>
      <c r="F2" s="14">
        <v>6795.99</v>
      </c>
      <c r="G2" s="21">
        <v>6709410000</v>
      </c>
      <c r="P2" t="s">
        <v>9</v>
      </c>
      <c r="Q2" s="14">
        <v>6795.99</v>
      </c>
      <c r="R2" s="19">
        <f>Q2/Q3-1</f>
        <v>8.3041296613362015E-3</v>
      </c>
    </row>
    <row r="3" spans="1:18" x14ac:dyDescent="0.3">
      <c r="A3" s="45" t="s">
        <v>150</v>
      </c>
      <c r="B3" s="16">
        <v>6824.36</v>
      </c>
      <c r="C3" s="16">
        <v>6901.01</v>
      </c>
      <c r="D3" s="16">
        <v>6710.42</v>
      </c>
      <c r="E3" s="16">
        <v>6740.02</v>
      </c>
      <c r="F3" s="16">
        <v>6740.02</v>
      </c>
      <c r="G3" s="22">
        <v>29555750000</v>
      </c>
      <c r="I3" t="s">
        <v>202</v>
      </c>
      <c r="P3" t="s">
        <v>11</v>
      </c>
      <c r="Q3" s="16">
        <v>6740.02</v>
      </c>
      <c r="R3" s="19">
        <f t="shared" ref="R3:R53" si="0">Q3/Q4-1</f>
        <v>-2.0186425697206523E-2</v>
      </c>
    </row>
    <row r="4" spans="1:18" x14ac:dyDescent="0.3">
      <c r="A4" s="44" t="s">
        <v>151</v>
      </c>
      <c r="B4" s="14">
        <v>6901.25</v>
      </c>
      <c r="C4" s="14">
        <v>6952.51</v>
      </c>
      <c r="D4" s="14">
        <v>6815.43</v>
      </c>
      <c r="E4" s="14">
        <v>6878.88</v>
      </c>
      <c r="F4" s="14">
        <v>6878.88</v>
      </c>
      <c r="G4" s="21">
        <v>28787710000</v>
      </c>
      <c r="P4" t="s">
        <v>13</v>
      </c>
      <c r="Q4" s="14">
        <v>6878.88</v>
      </c>
      <c r="R4" s="19">
        <f t="shared" si="0"/>
        <v>-4.4330205759887109E-3</v>
      </c>
    </row>
    <row r="5" spans="1:18" ht="18" x14ac:dyDescent="0.3">
      <c r="A5" s="45" t="s">
        <v>152</v>
      </c>
      <c r="B5" s="16">
        <v>6819.86</v>
      </c>
      <c r="C5" s="16">
        <v>6915.86</v>
      </c>
      <c r="D5" s="16">
        <v>6775.5</v>
      </c>
      <c r="E5" s="16">
        <v>6909.51</v>
      </c>
      <c r="F5" s="16">
        <v>6909.51</v>
      </c>
      <c r="G5" s="22">
        <v>21100810000</v>
      </c>
      <c r="I5" s="5" t="s">
        <v>147</v>
      </c>
      <c r="P5" t="s">
        <v>15</v>
      </c>
      <c r="Q5" s="16">
        <v>6909.51</v>
      </c>
      <c r="R5" s="19">
        <f t="shared" si="0"/>
        <v>1.07282294033062E-2</v>
      </c>
    </row>
    <row r="6" spans="1:18" x14ac:dyDescent="0.3">
      <c r="A6" s="44" t="s">
        <v>153</v>
      </c>
      <c r="B6" s="14">
        <v>6917.26</v>
      </c>
      <c r="C6" s="14">
        <v>6993.48</v>
      </c>
      <c r="D6" s="14">
        <v>6794.55</v>
      </c>
      <c r="E6" s="14">
        <v>6836.17</v>
      </c>
      <c r="F6" s="14">
        <v>6836.17</v>
      </c>
      <c r="G6" s="21">
        <v>30258780000</v>
      </c>
      <c r="P6" t="s">
        <v>17</v>
      </c>
      <c r="Q6" s="14">
        <v>6836.17</v>
      </c>
      <c r="R6" s="19">
        <f t="shared" si="0"/>
        <v>-1.3866970558112035E-2</v>
      </c>
    </row>
    <row r="7" spans="1:18" x14ac:dyDescent="0.3">
      <c r="A7" s="45" t="s">
        <v>154</v>
      </c>
      <c r="B7" s="16">
        <v>6916.64</v>
      </c>
      <c r="C7" s="16">
        <v>6993.08</v>
      </c>
      <c r="D7" s="16">
        <v>6780.13</v>
      </c>
      <c r="E7" s="16">
        <v>6932.3</v>
      </c>
      <c r="F7" s="16">
        <v>6932.3</v>
      </c>
      <c r="G7" s="22">
        <v>33538260000</v>
      </c>
      <c r="P7" t="s">
        <v>19</v>
      </c>
      <c r="Q7" s="16">
        <v>6932.3</v>
      </c>
      <c r="R7" s="19">
        <f t="shared" si="0"/>
        <v>-9.6987619307009609E-4</v>
      </c>
    </row>
    <row r="8" spans="1:18" x14ac:dyDescent="0.3">
      <c r="A8" s="44" t="s">
        <v>155</v>
      </c>
      <c r="B8" s="14">
        <v>6923.23</v>
      </c>
      <c r="C8" s="14">
        <v>7002.28</v>
      </c>
      <c r="D8" s="14">
        <v>6870.8</v>
      </c>
      <c r="E8" s="14">
        <v>6939.03</v>
      </c>
      <c r="F8" s="14">
        <v>6939.03</v>
      </c>
      <c r="G8" s="21">
        <v>29382560000</v>
      </c>
      <c r="P8" t="s">
        <v>21</v>
      </c>
      <c r="Q8" s="14">
        <v>6939.03</v>
      </c>
      <c r="R8" s="19">
        <f t="shared" si="0"/>
        <v>3.3865414619969059E-3</v>
      </c>
    </row>
    <row r="9" spans="1:18" x14ac:dyDescent="0.3">
      <c r="A9" s="45" t="s">
        <v>156</v>
      </c>
      <c r="B9" s="16">
        <v>6865.24</v>
      </c>
      <c r="C9" s="16">
        <v>6934.75</v>
      </c>
      <c r="D9" s="16">
        <v>6789.05</v>
      </c>
      <c r="E9" s="16">
        <v>6915.61</v>
      </c>
      <c r="F9" s="16">
        <v>6915.61</v>
      </c>
      <c r="G9" s="22">
        <v>21784530000</v>
      </c>
      <c r="P9" t="s">
        <v>23</v>
      </c>
      <c r="Q9" s="16">
        <v>6915.61</v>
      </c>
      <c r="R9" s="19">
        <f t="shared" si="0"/>
        <v>-3.5158450780331529E-3</v>
      </c>
    </row>
    <row r="10" spans="1:18" x14ac:dyDescent="0.3">
      <c r="A10" s="44" t="s">
        <v>157</v>
      </c>
      <c r="B10" s="14">
        <v>6944.12</v>
      </c>
      <c r="C10" s="14">
        <v>6986.33</v>
      </c>
      <c r="D10" s="14">
        <v>6885.74</v>
      </c>
      <c r="E10" s="14">
        <v>6940.01</v>
      </c>
      <c r="F10" s="14">
        <v>6940.01</v>
      </c>
      <c r="G10" s="21">
        <v>26112200000</v>
      </c>
      <c r="P10" t="s">
        <v>25</v>
      </c>
      <c r="Q10" s="14">
        <v>6940.01</v>
      </c>
      <c r="R10" s="19">
        <f t="shared" si="0"/>
        <v>-3.7710226979104089E-3</v>
      </c>
    </row>
    <row r="11" spans="1:18" x14ac:dyDescent="0.3">
      <c r="A11" s="45" t="s">
        <v>158</v>
      </c>
      <c r="B11" s="16">
        <v>6892.19</v>
      </c>
      <c r="C11" s="16">
        <v>6978.36</v>
      </c>
      <c r="D11" s="16">
        <v>6891.56</v>
      </c>
      <c r="E11" s="16">
        <v>6966.28</v>
      </c>
      <c r="F11" s="16">
        <v>6966.28</v>
      </c>
      <c r="G11" s="22">
        <v>26993190000</v>
      </c>
      <c r="P11" t="s">
        <v>27</v>
      </c>
      <c r="Q11" s="16">
        <v>6966.28</v>
      </c>
      <c r="R11" s="19">
        <f t="shared" si="0"/>
        <v>1.5719249336951124E-2</v>
      </c>
    </row>
    <row r="12" spans="1:18" x14ac:dyDescent="0.3">
      <c r="A12" s="44" t="s">
        <v>159</v>
      </c>
      <c r="B12" s="14">
        <v>6903.6</v>
      </c>
      <c r="C12" s="14">
        <v>6920.21</v>
      </c>
      <c r="D12" s="14">
        <v>6824.31</v>
      </c>
      <c r="E12" s="14">
        <v>6858.47</v>
      </c>
      <c r="F12" s="14">
        <v>6858.47</v>
      </c>
      <c r="G12" s="21">
        <v>14297630000</v>
      </c>
      <c r="P12" t="s">
        <v>29</v>
      </c>
      <c r="Q12" s="14">
        <v>6858.47</v>
      </c>
      <c r="R12" s="19">
        <f t="shared" si="0"/>
        <v>-1.031322060508455E-2</v>
      </c>
    </row>
    <row r="13" spans="1:18" x14ac:dyDescent="0.3">
      <c r="A13" s="45" t="s">
        <v>160</v>
      </c>
      <c r="B13" s="16">
        <v>6865.21</v>
      </c>
      <c r="C13" s="16">
        <v>6945.77</v>
      </c>
      <c r="D13" s="16">
        <v>6855.74</v>
      </c>
      <c r="E13" s="16">
        <v>6929.94</v>
      </c>
      <c r="F13" s="16">
        <v>6929.94</v>
      </c>
      <c r="G13" s="22">
        <v>12670410000</v>
      </c>
      <c r="P13" t="s">
        <v>31</v>
      </c>
      <c r="Q13" s="16">
        <v>6929.94</v>
      </c>
      <c r="R13" s="19">
        <f t="shared" si="0"/>
        <v>1.3964445094739819E-2</v>
      </c>
    </row>
    <row r="14" spans="1:18" x14ac:dyDescent="0.3">
      <c r="A14" s="44" t="s">
        <v>161</v>
      </c>
      <c r="B14" s="14">
        <v>6860.19</v>
      </c>
      <c r="C14" s="14">
        <v>6861.59</v>
      </c>
      <c r="D14" s="14">
        <v>6720.43</v>
      </c>
      <c r="E14" s="14">
        <v>6834.5</v>
      </c>
      <c r="F14" s="14">
        <v>6834.5</v>
      </c>
      <c r="G14" s="21">
        <v>28736560000</v>
      </c>
      <c r="P14" t="s">
        <v>33</v>
      </c>
      <c r="Q14" s="14">
        <v>6834.5</v>
      </c>
      <c r="R14" s="19">
        <f t="shared" si="0"/>
        <v>1.0384611441234259E-3</v>
      </c>
    </row>
    <row r="15" spans="1:18" x14ac:dyDescent="0.3">
      <c r="A15" s="45" t="s">
        <v>162</v>
      </c>
      <c r="B15" s="16">
        <v>6875.2</v>
      </c>
      <c r="C15" s="16">
        <v>6903.46</v>
      </c>
      <c r="D15" s="16">
        <v>6801.79</v>
      </c>
      <c r="E15" s="16">
        <v>6827.41</v>
      </c>
      <c r="F15" s="16">
        <v>6827.41</v>
      </c>
      <c r="G15" s="22">
        <v>24722970000</v>
      </c>
      <c r="P15" t="s">
        <v>35</v>
      </c>
      <c r="Q15" s="16">
        <v>6827.41</v>
      </c>
      <c r="R15" s="19">
        <f t="shared" si="0"/>
        <v>-6.2572775966464045E-3</v>
      </c>
    </row>
    <row r="16" spans="1:18" x14ac:dyDescent="0.3">
      <c r="A16" s="44" t="s">
        <v>163</v>
      </c>
      <c r="B16" s="14">
        <v>6812.3</v>
      </c>
      <c r="C16" s="14">
        <v>6895.78</v>
      </c>
      <c r="D16" s="14">
        <v>6799.94</v>
      </c>
      <c r="E16" s="14">
        <v>6870.4</v>
      </c>
      <c r="F16" s="14">
        <v>6870.4</v>
      </c>
      <c r="G16" s="21">
        <v>23685440000</v>
      </c>
      <c r="P16" t="s">
        <v>37</v>
      </c>
      <c r="Q16" s="14">
        <v>6870.4</v>
      </c>
      <c r="R16" s="19">
        <f t="shared" si="0"/>
        <v>3.1113622393630358E-3</v>
      </c>
    </row>
    <row r="17" spans="1:18" x14ac:dyDescent="0.3">
      <c r="A17" s="45" t="s">
        <v>164</v>
      </c>
      <c r="B17" s="16">
        <v>6636.54</v>
      </c>
      <c r="C17" s="16">
        <v>6850.86</v>
      </c>
      <c r="D17" s="16">
        <v>6630.7</v>
      </c>
      <c r="E17" s="16">
        <v>6849.09</v>
      </c>
      <c r="F17" s="16">
        <v>6849.09</v>
      </c>
      <c r="G17" s="22">
        <v>18086610000</v>
      </c>
      <c r="P17" t="s">
        <v>39</v>
      </c>
      <c r="Q17" s="16">
        <v>6849.09</v>
      </c>
      <c r="R17" s="19">
        <f t="shared" si="0"/>
        <v>3.7270993898218974E-2</v>
      </c>
    </row>
    <row r="18" spans="1:18" x14ac:dyDescent="0.3">
      <c r="A18" s="44" t="s">
        <v>165</v>
      </c>
      <c r="B18" s="14">
        <v>6713.61</v>
      </c>
      <c r="C18" s="14">
        <v>6770.35</v>
      </c>
      <c r="D18" s="14">
        <v>6521.92</v>
      </c>
      <c r="E18" s="14">
        <v>6602.99</v>
      </c>
      <c r="F18" s="14">
        <v>6602.99</v>
      </c>
      <c r="G18" s="21">
        <v>26911230000</v>
      </c>
      <c r="P18" t="s">
        <v>41</v>
      </c>
      <c r="Q18" s="14">
        <v>6602.99</v>
      </c>
      <c r="R18" s="19">
        <f t="shared" si="0"/>
        <v>-1.9471021411886613E-2</v>
      </c>
    </row>
    <row r="19" spans="1:18" x14ac:dyDescent="0.3">
      <c r="A19" s="45" t="s">
        <v>166</v>
      </c>
      <c r="B19" s="16">
        <v>6785.36</v>
      </c>
      <c r="C19" s="16">
        <v>6869.91</v>
      </c>
      <c r="D19" s="16">
        <v>6646.87</v>
      </c>
      <c r="E19" s="16">
        <v>6734.11</v>
      </c>
      <c r="F19" s="16">
        <v>6734.11</v>
      </c>
      <c r="G19" s="22">
        <v>26159530000</v>
      </c>
      <c r="P19" t="s">
        <v>43</v>
      </c>
      <c r="Q19" s="16">
        <v>6734.11</v>
      </c>
      <c r="R19" s="19">
        <f t="shared" si="0"/>
        <v>7.8914516704298165E-4</v>
      </c>
    </row>
    <row r="20" spans="1:18" x14ac:dyDescent="0.3">
      <c r="A20" s="44" t="s">
        <v>167</v>
      </c>
      <c r="B20" s="14">
        <v>6882.32</v>
      </c>
      <c r="C20" s="14">
        <v>6882.32</v>
      </c>
      <c r="D20" s="14">
        <v>6631.44</v>
      </c>
      <c r="E20" s="14">
        <v>6728.8</v>
      </c>
      <c r="F20" s="14">
        <v>6728.8</v>
      </c>
      <c r="G20" s="21">
        <v>29722800000</v>
      </c>
      <c r="P20" t="s">
        <v>45</v>
      </c>
      <c r="Q20" s="14">
        <v>6728.8</v>
      </c>
      <c r="R20" s="19">
        <f t="shared" si="0"/>
        <v>-1.6286073506622589E-2</v>
      </c>
    </row>
    <row r="21" spans="1:18" x14ac:dyDescent="0.3">
      <c r="A21" s="45" t="s">
        <v>168</v>
      </c>
      <c r="B21" s="16">
        <v>6845.46</v>
      </c>
      <c r="C21" s="16">
        <v>6920.34</v>
      </c>
      <c r="D21" s="16">
        <v>6814.26</v>
      </c>
      <c r="E21" s="16">
        <v>6840.2</v>
      </c>
      <c r="F21" s="16">
        <v>6840.2</v>
      </c>
      <c r="G21" s="22">
        <v>29717690000</v>
      </c>
      <c r="P21" t="s">
        <v>47</v>
      </c>
      <c r="Q21" s="16">
        <v>6840.2</v>
      </c>
      <c r="R21" s="19">
        <f t="shared" si="0"/>
        <v>7.1425521482870735E-3</v>
      </c>
    </row>
    <row r="22" spans="1:18" x14ac:dyDescent="0.3">
      <c r="A22" s="44" t="s">
        <v>169</v>
      </c>
      <c r="B22" s="14">
        <v>6690.05</v>
      </c>
      <c r="C22" s="14">
        <v>6807.11</v>
      </c>
      <c r="D22" s="14">
        <v>6655.69</v>
      </c>
      <c r="E22" s="14">
        <v>6791.69</v>
      </c>
      <c r="F22" s="14">
        <v>6791.69</v>
      </c>
      <c r="G22" s="21">
        <v>26251170000</v>
      </c>
      <c r="P22" t="s">
        <v>49</v>
      </c>
      <c r="Q22" s="14">
        <v>6791.69</v>
      </c>
      <c r="R22" s="19">
        <f t="shared" si="0"/>
        <v>1.9159635114593065E-2</v>
      </c>
    </row>
    <row r="23" spans="1:18" x14ac:dyDescent="0.3">
      <c r="A23" s="45" t="s">
        <v>170</v>
      </c>
      <c r="B23" s="16">
        <v>6622.53</v>
      </c>
      <c r="C23" s="16">
        <v>6724.12</v>
      </c>
      <c r="D23" s="16">
        <v>6555.07</v>
      </c>
      <c r="E23" s="16">
        <v>6664.01</v>
      </c>
      <c r="F23" s="16">
        <v>6664.01</v>
      </c>
      <c r="G23" s="22">
        <v>28010240000</v>
      </c>
      <c r="P23" t="s">
        <v>51</v>
      </c>
      <c r="Q23" s="16">
        <v>6664.01</v>
      </c>
      <c r="R23" s="19">
        <f t="shared" si="0"/>
        <v>1.7016379982632612E-2</v>
      </c>
    </row>
    <row r="24" spans="1:18" x14ac:dyDescent="0.3">
      <c r="A24" s="44" t="s">
        <v>171</v>
      </c>
      <c r="B24" s="14">
        <v>6733.86</v>
      </c>
      <c r="C24" s="14">
        <v>6764.58</v>
      </c>
      <c r="D24" s="14">
        <v>6550.78</v>
      </c>
      <c r="E24" s="14">
        <v>6552.51</v>
      </c>
      <c r="F24" s="14">
        <v>6552.51</v>
      </c>
      <c r="G24" s="21">
        <v>28515370000</v>
      </c>
      <c r="P24" t="s">
        <v>53</v>
      </c>
      <c r="Q24" s="14">
        <v>6552.51</v>
      </c>
      <c r="R24" s="19">
        <f t="shared" si="0"/>
        <v>-2.4312850759180882E-2</v>
      </c>
    </row>
    <row r="25" spans="1:18" x14ac:dyDescent="0.3">
      <c r="A25" s="45" t="s">
        <v>172</v>
      </c>
      <c r="B25" s="16">
        <v>6661.58</v>
      </c>
      <c r="C25" s="16">
        <v>6750.87</v>
      </c>
      <c r="D25" s="16">
        <v>6641</v>
      </c>
      <c r="E25" s="16">
        <v>6715.79</v>
      </c>
      <c r="F25" s="16">
        <v>6715.79</v>
      </c>
      <c r="G25" s="22">
        <v>28583160000</v>
      </c>
      <c r="P25" t="s">
        <v>55</v>
      </c>
      <c r="Q25" s="16">
        <v>6715.79</v>
      </c>
      <c r="R25" s="19">
        <f t="shared" si="0"/>
        <v>1.08508812860304E-2</v>
      </c>
    </row>
    <row r="26" spans="1:18" x14ac:dyDescent="0.3">
      <c r="A26" s="44" t="s">
        <v>173</v>
      </c>
      <c r="B26" s="14">
        <v>6654.28</v>
      </c>
      <c r="C26" s="14">
        <v>6699.52</v>
      </c>
      <c r="D26" s="14">
        <v>6569.22</v>
      </c>
      <c r="E26" s="14">
        <v>6643.7</v>
      </c>
      <c r="F26" s="14">
        <v>6643.7</v>
      </c>
      <c r="G26" s="21">
        <v>27713200000</v>
      </c>
      <c r="P26" t="s">
        <v>57</v>
      </c>
      <c r="Q26" s="14">
        <v>6643.7</v>
      </c>
      <c r="R26" s="19">
        <f t="shared" si="0"/>
        <v>-3.1000726251282362E-3</v>
      </c>
    </row>
    <row r="27" spans="1:18" x14ac:dyDescent="0.3">
      <c r="A27" s="45" t="s">
        <v>174</v>
      </c>
      <c r="B27" s="16">
        <v>6603.49</v>
      </c>
      <c r="C27" s="16">
        <v>6671.82</v>
      </c>
      <c r="D27" s="16">
        <v>6551.15</v>
      </c>
      <c r="E27" s="16">
        <v>6664.36</v>
      </c>
      <c r="F27" s="16">
        <v>6664.36</v>
      </c>
      <c r="G27" s="22">
        <v>30628230000</v>
      </c>
      <c r="P27" t="s">
        <v>59</v>
      </c>
      <c r="Q27" s="16">
        <v>6664.36</v>
      </c>
      <c r="R27" s="19">
        <f t="shared" si="0"/>
        <v>1.216076448637593E-2</v>
      </c>
    </row>
    <row r="28" spans="1:18" x14ac:dyDescent="0.3">
      <c r="A28" s="44" t="s">
        <v>175</v>
      </c>
      <c r="B28" s="14">
        <v>6498.09</v>
      </c>
      <c r="C28" s="14">
        <v>6600.21</v>
      </c>
      <c r="D28" s="14">
        <v>6483.08</v>
      </c>
      <c r="E28" s="14">
        <v>6584.29</v>
      </c>
      <c r="F28" s="14">
        <v>6584.29</v>
      </c>
      <c r="G28" s="21">
        <v>25330960000</v>
      </c>
      <c r="P28" t="s">
        <v>61</v>
      </c>
      <c r="Q28" s="14">
        <v>6584.29</v>
      </c>
      <c r="R28" s="19">
        <f t="shared" si="0"/>
        <v>1.5858983260047754E-2</v>
      </c>
    </row>
    <row r="29" spans="1:18" x14ac:dyDescent="0.3">
      <c r="A29" s="45" t="s">
        <v>176</v>
      </c>
      <c r="B29" s="16">
        <v>6401.51</v>
      </c>
      <c r="C29" s="16">
        <v>6532.65</v>
      </c>
      <c r="D29" s="16">
        <v>6360.58</v>
      </c>
      <c r="E29" s="16">
        <v>6481.5</v>
      </c>
      <c r="F29" s="16">
        <v>6481.5</v>
      </c>
      <c r="G29" s="22">
        <v>18986250000</v>
      </c>
      <c r="P29" t="s">
        <v>63</v>
      </c>
      <c r="Q29" s="16">
        <v>6481.5</v>
      </c>
      <c r="R29" s="19">
        <f t="shared" si="0"/>
        <v>3.287793370545522E-3</v>
      </c>
    </row>
    <row r="30" spans="1:18" x14ac:dyDescent="0.3">
      <c r="A30" s="44" t="s">
        <v>177</v>
      </c>
      <c r="B30" s="14">
        <v>6457.67</v>
      </c>
      <c r="C30" s="14">
        <v>6508.23</v>
      </c>
      <c r="D30" s="14">
        <v>6429.21</v>
      </c>
      <c r="E30" s="14">
        <v>6460.26</v>
      </c>
      <c r="F30" s="14">
        <v>6460.26</v>
      </c>
      <c r="G30" s="21">
        <v>21589030000</v>
      </c>
      <c r="P30" t="s">
        <v>65</v>
      </c>
      <c r="Q30" s="14">
        <v>6460.26</v>
      </c>
      <c r="R30" s="19">
        <f t="shared" si="0"/>
        <v>-1.0283118212561781E-3</v>
      </c>
    </row>
    <row r="31" spans="1:18" x14ac:dyDescent="0.3">
      <c r="A31" s="45" t="s">
        <v>178</v>
      </c>
      <c r="B31" s="16">
        <v>6445.02</v>
      </c>
      <c r="C31" s="16">
        <v>6478.89</v>
      </c>
      <c r="D31" s="16">
        <v>6343.86</v>
      </c>
      <c r="E31" s="16">
        <v>6466.91</v>
      </c>
      <c r="F31" s="16">
        <v>6466.91</v>
      </c>
      <c r="G31" s="22">
        <v>22070540000</v>
      </c>
      <c r="P31" t="s">
        <v>67</v>
      </c>
      <c r="Q31" s="16">
        <v>6466.91</v>
      </c>
      <c r="R31" s="19">
        <f t="shared" si="0"/>
        <v>2.65279543551733E-3</v>
      </c>
    </row>
    <row r="32" spans="1:18" x14ac:dyDescent="0.3">
      <c r="A32" s="44" t="s">
        <v>179</v>
      </c>
      <c r="B32" s="14">
        <v>6389.67</v>
      </c>
      <c r="C32" s="14">
        <v>6481.34</v>
      </c>
      <c r="D32" s="14">
        <v>6364.06</v>
      </c>
      <c r="E32" s="14">
        <v>6449.8</v>
      </c>
      <c r="F32" s="14">
        <v>6449.8</v>
      </c>
      <c r="G32" s="21">
        <v>24020760000</v>
      </c>
      <c r="P32" t="s">
        <v>69</v>
      </c>
      <c r="Q32" s="14">
        <v>6449.8</v>
      </c>
      <c r="R32" s="19">
        <f t="shared" si="0"/>
        <v>9.4452574165226899E-3</v>
      </c>
    </row>
    <row r="33" spans="1:18" x14ac:dyDescent="0.3">
      <c r="A33" s="45" t="s">
        <v>180</v>
      </c>
      <c r="B33" s="16">
        <v>6271.71</v>
      </c>
      <c r="C33" s="16">
        <v>6395.16</v>
      </c>
      <c r="D33" s="16">
        <v>6271.71</v>
      </c>
      <c r="E33" s="16">
        <v>6389.45</v>
      </c>
      <c r="F33" s="16">
        <v>6389.45</v>
      </c>
      <c r="G33" s="22">
        <v>25844550000</v>
      </c>
      <c r="P33" t="s">
        <v>71</v>
      </c>
      <c r="Q33" s="16">
        <v>6389.45</v>
      </c>
      <c r="R33" s="19">
        <f t="shared" si="0"/>
        <v>2.4276972944897501E-2</v>
      </c>
    </row>
    <row r="34" spans="1:18" x14ac:dyDescent="0.3">
      <c r="A34" s="44" t="s">
        <v>181</v>
      </c>
      <c r="B34" s="14">
        <v>6397.69</v>
      </c>
      <c r="C34" s="14">
        <v>6427.02</v>
      </c>
      <c r="D34" s="14">
        <v>6212.69</v>
      </c>
      <c r="E34" s="14">
        <v>6238.01</v>
      </c>
      <c r="F34" s="14">
        <v>6238.01</v>
      </c>
      <c r="G34" s="21">
        <v>26921040000</v>
      </c>
      <c r="P34" t="s">
        <v>73</v>
      </c>
      <c r="Q34" s="14">
        <v>6238.01</v>
      </c>
      <c r="R34" s="19">
        <f t="shared" si="0"/>
        <v>-2.3577788073831041E-2</v>
      </c>
    </row>
    <row r="35" spans="1:18" x14ac:dyDescent="0.3">
      <c r="A35" s="45" t="s">
        <v>182</v>
      </c>
      <c r="B35" s="16">
        <v>6304.74</v>
      </c>
      <c r="C35" s="16">
        <v>6395.82</v>
      </c>
      <c r="D35" s="16">
        <v>6281.71</v>
      </c>
      <c r="E35" s="16">
        <v>6388.64</v>
      </c>
      <c r="F35" s="16">
        <v>6388.64</v>
      </c>
      <c r="G35" s="22">
        <v>26068830000</v>
      </c>
      <c r="P35" t="s">
        <v>75</v>
      </c>
      <c r="Q35" s="16">
        <v>6388.64</v>
      </c>
      <c r="R35" s="19">
        <f t="shared" si="0"/>
        <v>1.4586797399945173E-2</v>
      </c>
    </row>
    <row r="36" spans="1:18" x14ac:dyDescent="0.3">
      <c r="A36" s="44" t="s">
        <v>183</v>
      </c>
      <c r="B36" s="14">
        <v>6255.15</v>
      </c>
      <c r="C36" s="14">
        <v>6315.61</v>
      </c>
      <c r="D36" s="14">
        <v>6201.59</v>
      </c>
      <c r="E36" s="14">
        <v>6296.79</v>
      </c>
      <c r="F36" s="14">
        <v>6296.79</v>
      </c>
      <c r="G36" s="21">
        <v>25730370000</v>
      </c>
      <c r="P36" t="s">
        <v>77</v>
      </c>
      <c r="Q36" s="14">
        <v>6296.79</v>
      </c>
      <c r="R36" s="19">
        <f t="shared" si="0"/>
        <v>5.9171692160229217E-3</v>
      </c>
    </row>
    <row r="37" spans="1:18" x14ac:dyDescent="0.3">
      <c r="A37" s="45" t="s">
        <v>184</v>
      </c>
      <c r="B37" s="16">
        <v>6259.04</v>
      </c>
      <c r="C37" s="16">
        <v>6290.22</v>
      </c>
      <c r="D37" s="16">
        <v>6201</v>
      </c>
      <c r="E37" s="16">
        <v>6259.75</v>
      </c>
      <c r="F37" s="16">
        <v>6259.75</v>
      </c>
      <c r="G37" s="22">
        <v>25812670000</v>
      </c>
      <c r="P37" t="s">
        <v>79</v>
      </c>
      <c r="Q37" s="16">
        <v>6259.75</v>
      </c>
      <c r="R37" s="19">
        <f t="shared" si="0"/>
        <v>-3.1213421771362215E-3</v>
      </c>
    </row>
    <row r="38" spans="1:18" x14ac:dyDescent="0.3">
      <c r="A38" s="44" t="s">
        <v>185</v>
      </c>
      <c r="B38" s="14">
        <v>6193.36</v>
      </c>
      <c r="C38" s="14">
        <v>6284.65</v>
      </c>
      <c r="D38" s="14">
        <v>6174.97</v>
      </c>
      <c r="E38" s="14">
        <v>6279.35</v>
      </c>
      <c r="F38" s="14">
        <v>6279.35</v>
      </c>
      <c r="G38" s="21">
        <v>21082030000</v>
      </c>
      <c r="P38" t="s">
        <v>81</v>
      </c>
      <c r="Q38" s="14">
        <v>6279.35</v>
      </c>
      <c r="R38" s="19">
        <f t="shared" si="0"/>
        <v>1.721671712778261E-2</v>
      </c>
    </row>
    <row r="39" spans="1:18" x14ac:dyDescent="0.3">
      <c r="A39" s="45" t="s">
        <v>186</v>
      </c>
      <c r="B39" s="16">
        <v>5969.67</v>
      </c>
      <c r="C39" s="16">
        <v>6187.68</v>
      </c>
      <c r="D39" s="16">
        <v>5943.23</v>
      </c>
      <c r="E39" s="16">
        <v>6173.07</v>
      </c>
      <c r="F39" s="16">
        <v>6173.07</v>
      </c>
      <c r="G39" s="22">
        <v>29409290000</v>
      </c>
      <c r="P39" t="s">
        <v>83</v>
      </c>
      <c r="Q39" s="16">
        <v>6173.07</v>
      </c>
      <c r="R39" s="19">
        <f t="shared" si="0"/>
        <v>3.4389326791602892E-2</v>
      </c>
    </row>
    <row r="40" spans="1:18" x14ac:dyDescent="0.3">
      <c r="A40" s="44" t="s">
        <v>187</v>
      </c>
      <c r="B40" s="14">
        <v>6004</v>
      </c>
      <c r="C40" s="14">
        <v>6050.83</v>
      </c>
      <c r="D40" s="14">
        <v>5952.56</v>
      </c>
      <c r="E40" s="14">
        <v>5967.84</v>
      </c>
      <c r="F40" s="14">
        <v>5967.84</v>
      </c>
      <c r="G40" s="21">
        <v>22625380000</v>
      </c>
      <c r="P40" t="s">
        <v>85</v>
      </c>
      <c r="Q40" s="14">
        <v>5967.84</v>
      </c>
      <c r="R40" s="19">
        <f t="shared" si="0"/>
        <v>-1.5275298353514266E-3</v>
      </c>
    </row>
    <row r="41" spans="1:18" x14ac:dyDescent="0.3">
      <c r="A41" s="45" t="s">
        <v>188</v>
      </c>
      <c r="B41" s="16">
        <v>6004.63</v>
      </c>
      <c r="C41" s="16">
        <v>6059.4</v>
      </c>
      <c r="D41" s="16">
        <v>5963.21</v>
      </c>
      <c r="E41" s="16">
        <v>5976.97</v>
      </c>
      <c r="F41" s="16">
        <v>5976.97</v>
      </c>
      <c r="G41" s="22">
        <v>24565200000</v>
      </c>
      <c r="P41" t="s">
        <v>87</v>
      </c>
      <c r="Q41" s="16">
        <v>5976.97</v>
      </c>
      <c r="R41" s="19">
        <f t="shared" si="0"/>
        <v>-3.8980994473664099E-3</v>
      </c>
    </row>
    <row r="42" spans="1:18" x14ac:dyDescent="0.3">
      <c r="A42" s="44" t="s">
        <v>189</v>
      </c>
      <c r="B42" s="14">
        <v>5896.68</v>
      </c>
      <c r="C42" s="14">
        <v>6016.87</v>
      </c>
      <c r="D42" s="14">
        <v>5861.43</v>
      </c>
      <c r="E42" s="14">
        <v>6000.36</v>
      </c>
      <c r="F42" s="14">
        <v>6000.36</v>
      </c>
      <c r="G42" s="21">
        <v>24073530000</v>
      </c>
      <c r="P42" t="s">
        <v>89</v>
      </c>
      <c r="Q42" s="14">
        <v>6000.36</v>
      </c>
      <c r="R42" s="19">
        <f t="shared" si="0"/>
        <v>1.4999095013439545E-2</v>
      </c>
    </row>
    <row r="43" spans="1:18" x14ac:dyDescent="0.3">
      <c r="A43" s="45" t="s">
        <v>190</v>
      </c>
      <c r="B43" s="16">
        <v>5854.07</v>
      </c>
      <c r="C43" s="16">
        <v>5943.13</v>
      </c>
      <c r="D43" s="16">
        <v>5843.66</v>
      </c>
      <c r="E43" s="16">
        <v>5911.69</v>
      </c>
      <c r="F43" s="16">
        <v>5911.69</v>
      </c>
      <c r="G43" s="22">
        <v>20979720000</v>
      </c>
      <c r="P43" t="s">
        <v>91</v>
      </c>
      <c r="Q43" s="16">
        <v>5911.69</v>
      </c>
      <c r="R43" s="19">
        <f t="shared" si="0"/>
        <v>1.8761567651589983E-2</v>
      </c>
    </row>
    <row r="44" spans="1:18" x14ac:dyDescent="0.3">
      <c r="A44" s="44" t="s">
        <v>191</v>
      </c>
      <c r="B44" s="14">
        <v>5902.88</v>
      </c>
      <c r="C44" s="14">
        <v>5968.61</v>
      </c>
      <c r="D44" s="14">
        <v>5767.41</v>
      </c>
      <c r="E44" s="14">
        <v>5802.82</v>
      </c>
      <c r="F44" s="14">
        <v>5802.82</v>
      </c>
      <c r="G44" s="21">
        <v>23634980000</v>
      </c>
      <c r="P44" t="s">
        <v>93</v>
      </c>
      <c r="Q44" s="14">
        <v>5802.82</v>
      </c>
      <c r="R44" s="19">
        <f t="shared" si="0"/>
        <v>-2.610776754755495E-2</v>
      </c>
    </row>
    <row r="45" spans="1:18" x14ac:dyDescent="0.3">
      <c r="A45" s="45" t="s">
        <v>192</v>
      </c>
      <c r="B45" s="16">
        <v>5807.2</v>
      </c>
      <c r="C45" s="16">
        <v>5958.62</v>
      </c>
      <c r="D45" s="16">
        <v>5786.08</v>
      </c>
      <c r="E45" s="16">
        <v>5958.38</v>
      </c>
      <c r="F45" s="16">
        <v>5958.38</v>
      </c>
      <c r="G45" s="22">
        <v>26606460000</v>
      </c>
      <c r="P45" t="s">
        <v>95</v>
      </c>
      <c r="Q45" s="16">
        <v>5958.38</v>
      </c>
      <c r="R45" s="19">
        <f t="shared" si="0"/>
        <v>5.2734054075064929E-2</v>
      </c>
    </row>
    <row r="46" spans="1:18" x14ac:dyDescent="0.3">
      <c r="A46" s="44" t="s">
        <v>193</v>
      </c>
      <c r="B46" s="14">
        <v>5655.32</v>
      </c>
      <c r="C46" s="14">
        <v>5720.1</v>
      </c>
      <c r="D46" s="14">
        <v>5578.64</v>
      </c>
      <c r="E46" s="14">
        <v>5659.91</v>
      </c>
      <c r="F46" s="14">
        <v>5659.91</v>
      </c>
      <c r="G46" s="21">
        <v>24335450000</v>
      </c>
      <c r="P46" t="s">
        <v>97</v>
      </c>
      <c r="Q46" s="14">
        <v>5659.91</v>
      </c>
      <c r="R46" s="19">
        <f t="shared" si="0"/>
        <v>-4.7057416730705848E-3</v>
      </c>
    </row>
    <row r="47" spans="1:18" x14ac:dyDescent="0.3">
      <c r="A47" s="45" t="s">
        <v>194</v>
      </c>
      <c r="B47" s="16">
        <v>5529.22</v>
      </c>
      <c r="C47" s="16">
        <v>5700.7</v>
      </c>
      <c r="D47" s="16">
        <v>5433.24</v>
      </c>
      <c r="E47" s="16">
        <v>5686.67</v>
      </c>
      <c r="F47" s="16">
        <v>5686.67</v>
      </c>
      <c r="G47" s="22">
        <v>24244170000</v>
      </c>
      <c r="P47" t="s">
        <v>99</v>
      </c>
      <c r="Q47" s="16">
        <v>5686.67</v>
      </c>
      <c r="R47" s="19">
        <f t="shared" si="0"/>
        <v>2.9222418695397989E-2</v>
      </c>
    </row>
    <row r="48" spans="1:18" x14ac:dyDescent="0.3">
      <c r="A48" s="44" t="s">
        <v>195</v>
      </c>
      <c r="B48" s="14">
        <v>5232.9399999999996</v>
      </c>
      <c r="C48" s="14">
        <v>5528.11</v>
      </c>
      <c r="D48" s="14">
        <v>5101.63</v>
      </c>
      <c r="E48" s="14">
        <v>5525.21</v>
      </c>
      <c r="F48" s="14">
        <v>5525.21</v>
      </c>
      <c r="G48" s="21">
        <v>23198970000</v>
      </c>
      <c r="P48" t="s">
        <v>101</v>
      </c>
      <c r="Q48" s="14">
        <v>5525.21</v>
      </c>
      <c r="R48" s="19">
        <f t="shared" si="0"/>
        <v>4.5906449353550371E-2</v>
      </c>
    </row>
    <row r="49" spans="1:18" x14ac:dyDescent="0.3">
      <c r="A49" s="45" t="s">
        <v>196</v>
      </c>
      <c r="B49" s="16">
        <v>5441.96</v>
      </c>
      <c r="C49" s="16">
        <v>5459.46</v>
      </c>
      <c r="D49" s="16">
        <v>5220.79</v>
      </c>
      <c r="E49" s="16">
        <v>5282.7</v>
      </c>
      <c r="F49" s="16">
        <v>5282.7</v>
      </c>
      <c r="G49" s="22">
        <v>18671180000</v>
      </c>
      <c r="P49" t="s">
        <v>103</v>
      </c>
      <c r="Q49" s="16">
        <v>5282.7</v>
      </c>
      <c r="R49" s="19">
        <f t="shared" si="0"/>
        <v>-1.5039079979714209E-2</v>
      </c>
    </row>
    <row r="50" spans="1:18" x14ac:dyDescent="0.3">
      <c r="A50" s="44" t="s">
        <v>197</v>
      </c>
      <c r="B50" s="14">
        <v>4953.79</v>
      </c>
      <c r="C50" s="14">
        <v>5481.34</v>
      </c>
      <c r="D50" s="14">
        <v>4835.04</v>
      </c>
      <c r="E50" s="14">
        <v>5363.36</v>
      </c>
      <c r="F50" s="14">
        <v>5363.36</v>
      </c>
      <c r="G50" s="21">
        <v>37869410000</v>
      </c>
      <c r="P50" t="s">
        <v>105</v>
      </c>
      <c r="Q50" s="14">
        <v>5363.36</v>
      </c>
      <c r="R50" s="19">
        <f t="shared" si="0"/>
        <v>5.7011320278749889E-2</v>
      </c>
    </row>
    <row r="51" spans="1:18" x14ac:dyDescent="0.3">
      <c r="A51" s="45" t="s">
        <v>198</v>
      </c>
      <c r="B51" s="16">
        <v>5527.91</v>
      </c>
      <c r="C51" s="16">
        <v>5695.31</v>
      </c>
      <c r="D51" s="16">
        <v>5069.8999999999996</v>
      </c>
      <c r="E51" s="16">
        <v>5074.08</v>
      </c>
      <c r="F51" s="16">
        <v>5074.08</v>
      </c>
      <c r="G51" s="22">
        <v>29999550000</v>
      </c>
      <c r="P51" t="s">
        <v>107</v>
      </c>
      <c r="Q51" s="16">
        <v>5074.08</v>
      </c>
      <c r="R51" s="19">
        <f t="shared" si="0"/>
        <v>-9.0819826050808627E-2</v>
      </c>
    </row>
    <row r="52" spans="1:18" x14ac:dyDescent="0.3">
      <c r="A52" s="44" t="s">
        <v>199</v>
      </c>
      <c r="B52" s="14">
        <v>5718.08</v>
      </c>
      <c r="C52" s="14">
        <v>5786.95</v>
      </c>
      <c r="D52" s="14">
        <v>5572.42</v>
      </c>
      <c r="E52" s="14">
        <v>5580.94</v>
      </c>
      <c r="F52" s="14">
        <v>5580.94</v>
      </c>
      <c r="G52" s="21">
        <v>22085260000</v>
      </c>
      <c r="P52" t="s">
        <v>109</v>
      </c>
      <c r="Q52" s="14">
        <v>5580.94</v>
      </c>
      <c r="R52" s="19">
        <f t="shared" si="0"/>
        <v>-1.5283472958380839E-2</v>
      </c>
    </row>
    <row r="53" spans="1:18" x14ac:dyDescent="0.3">
      <c r="A53" s="45" t="s">
        <v>200</v>
      </c>
      <c r="B53" s="16">
        <v>5635.6</v>
      </c>
      <c r="C53" s="16">
        <v>5715.33</v>
      </c>
      <c r="D53" s="16">
        <v>5597.76</v>
      </c>
      <c r="E53" s="16">
        <v>5667.56</v>
      </c>
      <c r="F53" s="16">
        <v>5667.56</v>
      </c>
      <c r="G53" s="22">
        <v>28404010000</v>
      </c>
      <c r="P53" t="s">
        <v>111</v>
      </c>
      <c r="Q53" s="16">
        <v>5667.56</v>
      </c>
      <c r="R53" s="19">
        <f t="shared" si="0"/>
        <v>5.0754219764708175E-3</v>
      </c>
    </row>
    <row r="54" spans="1:18" x14ac:dyDescent="0.3">
      <c r="A54" s="44" t="s">
        <v>201</v>
      </c>
      <c r="B54" s="14">
        <v>5705.37</v>
      </c>
      <c r="C54" s="14">
        <v>5705.37</v>
      </c>
      <c r="D54" s="14">
        <v>5504.65</v>
      </c>
      <c r="E54" s="14">
        <v>5638.94</v>
      </c>
      <c r="F54" s="14">
        <v>5638.94</v>
      </c>
      <c r="G54" s="21">
        <v>27732600000</v>
      </c>
      <c r="P54" t="s">
        <v>113</v>
      </c>
      <c r="Q54" s="14">
        <v>5638.94</v>
      </c>
    </row>
    <row r="55" spans="1:18" x14ac:dyDescent="0.3">
      <c r="P55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G15" sqref="G15"/>
    </sheetView>
  </sheetViews>
  <sheetFormatPr defaultRowHeight="14.4" x14ac:dyDescent="0.3"/>
  <cols>
    <col min="1" max="1" width="22.21875" customWidth="1"/>
  </cols>
  <sheetData>
    <row r="1" spans="1:3" x14ac:dyDescent="0.3">
      <c r="A1" s="24"/>
      <c r="B1" s="25"/>
      <c r="C1" s="26"/>
    </row>
    <row r="2" spans="1:3" x14ac:dyDescent="0.3">
      <c r="A2" s="7" t="s">
        <v>203</v>
      </c>
      <c r="B2" s="27">
        <f>(Combine!I15-B5)/Combine!I20</f>
        <v>-0.14440300855752991</v>
      </c>
      <c r="C2" s="28">
        <f>(Combine!J15-B5)/Combine!J20</f>
        <v>-6.9052045234143836E-2</v>
      </c>
    </row>
    <row r="3" spans="1:3" x14ac:dyDescent="0.3">
      <c r="A3" s="8"/>
      <c r="B3" s="29"/>
      <c r="C3" s="30"/>
    </row>
    <row r="4" spans="1:3" x14ac:dyDescent="0.3">
      <c r="A4" s="7" t="s">
        <v>204</v>
      </c>
      <c r="B4" s="31">
        <v>3.9600000000000003E-2</v>
      </c>
      <c r="C4" s="30"/>
    </row>
    <row r="5" spans="1:3" x14ac:dyDescent="0.3">
      <c r="A5" s="7" t="s">
        <v>205</v>
      </c>
      <c r="B5" s="32">
        <f>B4/52</f>
        <v>7.6153846153846161E-4</v>
      </c>
      <c r="C5" s="30"/>
    </row>
    <row r="8" spans="1:3" ht="15" thickBot="1" x14ac:dyDescent="0.35"/>
    <row r="9" spans="1:3" ht="16.2" thickTop="1" x14ac:dyDescent="0.3">
      <c r="A9" s="54" t="s">
        <v>206</v>
      </c>
      <c r="B9" s="55"/>
    </row>
    <row r="10" spans="1:3" x14ac:dyDescent="0.3">
      <c r="A10" s="33" t="s">
        <v>216</v>
      </c>
      <c r="B10" s="34" t="s">
        <v>217</v>
      </c>
    </row>
    <row r="11" spans="1:3" x14ac:dyDescent="0.3">
      <c r="A11" s="35" t="s">
        <v>218</v>
      </c>
      <c r="B11" s="34" t="s">
        <v>219</v>
      </c>
    </row>
    <row r="12" spans="1:3" x14ac:dyDescent="0.3">
      <c r="A12" s="33" t="s">
        <v>207</v>
      </c>
      <c r="B12" s="34" t="s">
        <v>220</v>
      </c>
    </row>
    <row r="13" spans="1:3" x14ac:dyDescent="0.3">
      <c r="A13" s="33" t="s">
        <v>208</v>
      </c>
      <c r="B13" s="34" t="s">
        <v>221</v>
      </c>
    </row>
    <row r="14" spans="1:3" x14ac:dyDescent="0.3">
      <c r="A14" s="36"/>
      <c r="B14" s="37"/>
    </row>
    <row r="15" spans="1:3" x14ac:dyDescent="0.3">
      <c r="A15" s="33" t="s">
        <v>209</v>
      </c>
      <c r="B15" s="38">
        <v>54</v>
      </c>
    </row>
    <row r="16" spans="1:3" x14ac:dyDescent="0.3">
      <c r="A16" s="33" t="s">
        <v>210</v>
      </c>
      <c r="B16" s="38">
        <v>53</v>
      </c>
    </row>
    <row r="17" spans="1:2" x14ac:dyDescent="0.3">
      <c r="A17" s="33" t="s">
        <v>211</v>
      </c>
      <c r="B17" s="38">
        <v>53</v>
      </c>
    </row>
    <row r="18" spans="1:2" x14ac:dyDescent="0.3">
      <c r="A18" s="33" t="s">
        <v>212</v>
      </c>
      <c r="B18" s="38" t="s">
        <v>222</v>
      </c>
    </row>
    <row r="19" spans="1:2" x14ac:dyDescent="0.3">
      <c r="A19" s="33" t="s">
        <v>213</v>
      </c>
      <c r="B19" s="39">
        <f>Combine!J19/Combine!I19</f>
        <v>7.4414831322668656E-2</v>
      </c>
    </row>
    <row r="20" spans="1:2" x14ac:dyDescent="0.3">
      <c r="A20" s="33" t="s">
        <v>214</v>
      </c>
      <c r="B20" s="40">
        <f>_xlfn.F.DIST.RT(B19,53,53)</f>
        <v>1</v>
      </c>
    </row>
    <row r="21" spans="1:2" ht="15" thickBot="1" x14ac:dyDescent="0.35">
      <c r="A21" s="56" t="s">
        <v>215</v>
      </c>
      <c r="B21" s="57"/>
    </row>
    <row r="22" spans="1:2" ht="15" thickTop="1" x14ac:dyDescent="0.3"/>
  </sheetData>
  <mergeCells count="2">
    <mergeCell ref="A9:B9"/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L13" sqref="L13"/>
    </sheetView>
  </sheetViews>
  <sheetFormatPr defaultRowHeight="14.4" x14ac:dyDescent="0.3"/>
  <cols>
    <col min="1" max="1" width="15.44140625" style="11" customWidth="1"/>
    <col min="2" max="2" width="8.88671875" style="11"/>
    <col min="3" max="3" width="8.88671875" style="47"/>
  </cols>
  <sheetData>
    <row r="1" spans="1:8" x14ac:dyDescent="0.3">
      <c r="A1" s="11" t="s">
        <v>1</v>
      </c>
      <c r="B1" s="11" t="s">
        <v>216</v>
      </c>
      <c r="C1" s="47" t="s">
        <v>223</v>
      </c>
    </row>
    <row r="2" spans="1:8" x14ac:dyDescent="0.3">
      <c r="A2" s="11" t="s">
        <v>8</v>
      </c>
      <c r="B2" s="11">
        <f>IFERROR(VLOOKUP(A2,Combine!A:E,4,0),"")</f>
        <v>2.1935483870967776E-2</v>
      </c>
      <c r="C2" s="47">
        <v>0</v>
      </c>
    </row>
    <row r="3" spans="1:8" x14ac:dyDescent="0.3">
      <c r="A3" s="11" t="s">
        <v>9</v>
      </c>
      <c r="B3" s="11">
        <f>IFERROR(VLOOKUP(A3,Combine!A:E,4,0),"")</f>
        <v>-9.6750638919314014E-3</v>
      </c>
      <c r="C3" s="47">
        <f>VLOOKUP(A3,'S&amp;P 500'!P:R,3,0)</f>
        <v>8.3041296613362015E-3</v>
      </c>
    </row>
    <row r="4" spans="1:8" x14ac:dyDescent="0.3">
      <c r="A4" s="11" t="s">
        <v>11</v>
      </c>
      <c r="B4" s="11">
        <f>IFERROR(VLOOKUP(A4,Combine!A:E,4,0),"")</f>
        <v>-7.1525423728813542E-2</v>
      </c>
      <c r="C4" s="47">
        <f>VLOOKUP(A4,'S&amp;P 500'!P:R,3,0)</f>
        <v>-2.0186425697206523E-2</v>
      </c>
    </row>
    <row r="5" spans="1:8" x14ac:dyDescent="0.3">
      <c r="A5" s="11" t="s">
        <v>13</v>
      </c>
      <c r="B5" s="11">
        <f>IFERROR(VLOOKUP(A5,Combine!A:E,4,0),"")</f>
        <v>-4.051316677920358E-3</v>
      </c>
      <c r="C5" s="47">
        <f>VLOOKUP(A5,'S&amp;P 500'!P:R,3,0)</f>
        <v>-4.4330205759887109E-3</v>
      </c>
    </row>
    <row r="6" spans="1:8" x14ac:dyDescent="0.3">
      <c r="A6" s="11" t="s">
        <v>15</v>
      </c>
      <c r="B6" s="11">
        <f>IFERROR(VLOOKUP(A6,Combine!A:E,4,0),"")</f>
        <v>2.811523776466518E-2</v>
      </c>
      <c r="C6" s="47">
        <f>VLOOKUP(A6,'S&amp;P 500'!P:R,3,0)</f>
        <v>1.07282294033062E-2</v>
      </c>
    </row>
    <row r="7" spans="1:8" x14ac:dyDescent="0.3">
      <c r="A7" s="11" t="s">
        <v>17</v>
      </c>
      <c r="B7" s="11">
        <f>IFERROR(VLOOKUP(A7,Combine!A:E,4,0),"")</f>
        <v>-1.973460360666901E-2</v>
      </c>
      <c r="C7" s="47">
        <f>VLOOKUP(A7,'S&amp;P 500'!P:R,3,0)</f>
        <v>-1.3866970558112035E-2</v>
      </c>
    </row>
    <row r="8" spans="1:8" x14ac:dyDescent="0.3">
      <c r="A8" s="11" t="s">
        <v>19</v>
      </c>
      <c r="B8" s="11">
        <f>IFERROR(VLOOKUP(A8,Combine!A:E,4,0),"")</f>
        <v>1.7130991521024486E-2</v>
      </c>
      <c r="C8" s="47">
        <f>VLOOKUP(A8,'S&amp;P 500'!P:R,3,0)</f>
        <v>-9.6987619307009609E-4</v>
      </c>
    </row>
    <row r="9" spans="1:8" x14ac:dyDescent="0.3">
      <c r="A9" s="11" t="s">
        <v>21</v>
      </c>
      <c r="B9" s="11">
        <f>IFERROR(VLOOKUP(A9,Combine!A:E,4,0),"")</f>
        <v>-8.7478559176672466E-3</v>
      </c>
      <c r="C9" s="47">
        <f>VLOOKUP(A9,'S&amp;P 500'!P:R,3,0)</f>
        <v>3.3865414619969059E-3</v>
      </c>
    </row>
    <row r="10" spans="1:8" x14ac:dyDescent="0.3">
      <c r="A10" s="11" t="s">
        <v>23</v>
      </c>
      <c r="B10" s="11">
        <f>IFERROR(VLOOKUP(A10,Combine!A:E,4,0),"")</f>
        <v>-8.840530431825977E-3</v>
      </c>
      <c r="C10" s="47">
        <f>VLOOKUP(A10,'S&amp;P 500'!P:R,3,0)</f>
        <v>-3.5158450780331529E-3</v>
      </c>
    </row>
    <row r="11" spans="1:8" x14ac:dyDescent="0.3">
      <c r="A11" s="11" t="s">
        <v>25</v>
      </c>
      <c r="B11" s="11">
        <f>IFERROR(VLOOKUP(A11,Combine!A:E,4,0),"")</f>
        <v>-2.5675004141129665E-2</v>
      </c>
      <c r="C11" s="47">
        <f>VLOOKUP(A11,'S&amp;P 500'!P:R,3,0)</f>
        <v>-3.7710226979104089E-3</v>
      </c>
      <c r="G11" t="s">
        <v>224</v>
      </c>
    </row>
    <row r="12" spans="1:8" ht="15" thickBot="1" x14ac:dyDescent="0.35">
      <c r="A12" s="11" t="s">
        <v>27</v>
      </c>
      <c r="B12" s="11">
        <f>IFERROR(VLOOKUP(A12,Combine!A:E,4,0),"")</f>
        <v>-2.5189730340707261E-2</v>
      </c>
      <c r="C12" s="47">
        <f>VLOOKUP(A12,'S&amp;P 500'!P:R,3,0)</f>
        <v>1.5719249336951124E-2</v>
      </c>
    </row>
    <row r="13" spans="1:8" x14ac:dyDescent="0.3">
      <c r="A13" s="11" t="s">
        <v>29</v>
      </c>
      <c r="B13" s="11">
        <f>IFERROR(VLOOKUP(A13,Combine!A:E,4,0),"")</f>
        <v>4.4350758853288319E-2</v>
      </c>
      <c r="C13" s="47">
        <f>VLOOKUP(A13,'S&amp;P 500'!P:R,3,0)</f>
        <v>-1.031322060508455E-2</v>
      </c>
      <c r="G13" s="51" t="s">
        <v>225</v>
      </c>
      <c r="H13" s="51"/>
    </row>
    <row r="14" spans="1:8" x14ac:dyDescent="0.3">
      <c r="A14" s="11" t="s">
        <v>31</v>
      </c>
      <c r="B14" s="11">
        <f>IFERROR(VLOOKUP(A14,Combine!A:E,4,0),"")</f>
        <v>-9.024064171123114E-3</v>
      </c>
      <c r="C14" s="47">
        <f>VLOOKUP(A14,'S&amp;P 500'!P:R,3,0)</f>
        <v>1.3964445094739819E-2</v>
      </c>
      <c r="G14" s="48" t="s">
        <v>226</v>
      </c>
      <c r="H14" s="48">
        <v>0.13180333726797128</v>
      </c>
    </row>
    <row r="15" spans="1:8" x14ac:dyDescent="0.3">
      <c r="A15" s="11" t="s">
        <v>33</v>
      </c>
      <c r="B15" s="11">
        <f>IFERROR(VLOOKUP(A15,Combine!A:E,4,0),"")</f>
        <v>-2.9988652942129934E-2</v>
      </c>
      <c r="C15" s="47">
        <f>VLOOKUP(A15,'S&amp;P 500'!P:R,3,0)</f>
        <v>1.0384611441234259E-3</v>
      </c>
      <c r="G15" s="48" t="s">
        <v>227</v>
      </c>
      <c r="H15" s="48">
        <v>1.7372119714974588E-2</v>
      </c>
    </row>
    <row r="16" spans="1:8" x14ac:dyDescent="0.3">
      <c r="A16" s="11" t="s">
        <v>35</v>
      </c>
      <c r="B16" s="11">
        <f>IFERROR(VLOOKUP(A16,Combine!A:E,4,0),"")</f>
        <v>1.4610389610389962E-3</v>
      </c>
      <c r="C16" s="47">
        <f>VLOOKUP(A16,'S&amp;P 500'!P:R,3,0)</f>
        <v>-6.2572775966464045E-3</v>
      </c>
      <c r="G16" s="48" t="s">
        <v>228</v>
      </c>
      <c r="H16" s="48">
        <v>-1.5245702905066687E-3</v>
      </c>
    </row>
    <row r="17" spans="1:15" x14ac:dyDescent="0.3">
      <c r="A17" s="11" t="s">
        <v>37</v>
      </c>
      <c r="B17" s="11">
        <f>IFERROR(VLOOKUP(A17,Combine!A:E,4,0),"")</f>
        <v>5.9147180192572257E-2</v>
      </c>
      <c r="C17" s="47">
        <f>VLOOKUP(A17,'S&amp;P 500'!P:R,3,0)</f>
        <v>3.1113622393630358E-3</v>
      </c>
      <c r="G17" s="48" t="s">
        <v>229</v>
      </c>
      <c r="H17" s="48">
        <v>2.240782312223244E-2</v>
      </c>
    </row>
    <row r="18" spans="1:15" ht="15" thickBot="1" x14ac:dyDescent="0.35">
      <c r="A18" s="11" t="s">
        <v>39</v>
      </c>
      <c r="B18" s="11">
        <f>IFERROR(VLOOKUP(A18,Combine!A:E,4,0),"")</f>
        <v>1.999298491757262E-2</v>
      </c>
      <c r="C18" s="47">
        <f>VLOOKUP(A18,'S&amp;P 500'!P:R,3,0)</f>
        <v>3.7270993898218974E-2</v>
      </c>
      <c r="G18" s="49" t="s">
        <v>230</v>
      </c>
      <c r="H18" s="49">
        <v>54</v>
      </c>
    </row>
    <row r="19" spans="1:15" x14ac:dyDescent="0.3">
      <c r="A19" s="11" t="s">
        <v>41</v>
      </c>
      <c r="B19" s="11">
        <f>IFERROR(VLOOKUP(A19,Combine!A:E,4,0),"")</f>
        <v>-4.2646071188717216E-2</v>
      </c>
      <c r="C19" s="47">
        <f>VLOOKUP(A19,'S&amp;P 500'!P:R,3,0)</f>
        <v>-1.9471021411886613E-2</v>
      </c>
    </row>
    <row r="20" spans="1:15" ht="15" thickBot="1" x14ac:dyDescent="0.35">
      <c r="A20" s="11" t="s">
        <v>43</v>
      </c>
      <c r="B20" s="11">
        <f>IFERROR(VLOOKUP(A20,Combine!A:E,4,0),"")</f>
        <v>2.3543564186286448E-2</v>
      </c>
      <c r="C20" s="47">
        <f>VLOOKUP(A20,'S&amp;P 500'!P:R,3,0)</f>
        <v>7.8914516704298165E-4</v>
      </c>
      <c r="G20" t="s">
        <v>231</v>
      </c>
    </row>
    <row r="21" spans="1:15" x14ac:dyDescent="0.3">
      <c r="A21" s="11" t="s">
        <v>45</v>
      </c>
      <c r="B21" s="11">
        <f>IFERROR(VLOOKUP(A21,Combine!A:E,4,0),"")</f>
        <v>3.5225048923678948E-2</v>
      </c>
      <c r="C21" s="47">
        <f>VLOOKUP(A21,'S&amp;P 500'!P:R,3,0)</f>
        <v>-1.6286073506622589E-2</v>
      </c>
      <c r="G21" s="50"/>
      <c r="H21" s="50" t="s">
        <v>236</v>
      </c>
      <c r="I21" s="50" t="s">
        <v>237</v>
      </c>
      <c r="J21" s="50" t="s">
        <v>238</v>
      </c>
      <c r="K21" s="50" t="s">
        <v>239</v>
      </c>
      <c r="L21" s="50" t="s">
        <v>240</v>
      </c>
    </row>
    <row r="22" spans="1:15" x14ac:dyDescent="0.3">
      <c r="A22" s="11" t="s">
        <v>47</v>
      </c>
      <c r="B22" s="11">
        <f>IFERROR(VLOOKUP(A22,Combine!A:E,4,0),"")</f>
        <v>4.5767441860465219E-2</v>
      </c>
      <c r="C22" s="47">
        <f>VLOOKUP(A22,'S&amp;P 500'!P:R,3,0)</f>
        <v>7.1425521482870735E-3</v>
      </c>
      <c r="G22" s="48" t="s">
        <v>232</v>
      </c>
      <c r="H22" s="48">
        <v>1</v>
      </c>
      <c r="I22" s="48">
        <v>4.6160064845886251E-4</v>
      </c>
      <c r="J22" s="48">
        <v>4.6160064845886251E-4</v>
      </c>
      <c r="K22" s="48">
        <v>0.91932077575149684</v>
      </c>
      <c r="L22" s="48">
        <v>0.34209038243532763</v>
      </c>
    </row>
    <row r="23" spans="1:15" x14ac:dyDescent="0.3">
      <c r="A23" s="11" t="s">
        <v>49</v>
      </c>
      <c r="B23" s="11">
        <f>IFERROR(VLOOKUP(A23,Combine!A:E,4,0),"")</f>
        <v>7.120104927862192E-3</v>
      </c>
      <c r="C23" s="47">
        <f>VLOOKUP(A23,'S&amp;P 500'!P:R,3,0)</f>
        <v>1.9159635114593065E-2</v>
      </c>
      <c r="G23" s="48" t="s">
        <v>233</v>
      </c>
      <c r="H23" s="48">
        <v>52</v>
      </c>
      <c r="I23" s="48">
        <v>2.6109747928017242E-2</v>
      </c>
      <c r="J23" s="48">
        <v>5.0211053707725469E-4</v>
      </c>
      <c r="K23" s="48"/>
      <c r="L23" s="48"/>
    </row>
    <row r="24" spans="1:15" ht="15" thickBot="1" x14ac:dyDescent="0.35">
      <c r="A24" s="11" t="s">
        <v>51</v>
      </c>
      <c r="B24" s="11">
        <f>IFERROR(VLOOKUP(A24,Combine!A:E,4,0),"")</f>
        <v>3.1954887218044181E-3</v>
      </c>
      <c r="C24" s="47">
        <f>VLOOKUP(A24,'S&amp;P 500'!P:R,3,0)</f>
        <v>1.7016379982632612E-2</v>
      </c>
      <c r="G24" s="49" t="s">
        <v>234</v>
      </c>
      <c r="H24" s="49">
        <v>53</v>
      </c>
      <c r="I24" s="49">
        <v>2.6571348576476105E-2</v>
      </c>
      <c r="J24" s="49"/>
      <c r="K24" s="49"/>
      <c r="L24" s="49"/>
    </row>
    <row r="25" spans="1:15" ht="15" thickBot="1" x14ac:dyDescent="0.35">
      <c r="A25" s="11" t="s">
        <v>53</v>
      </c>
      <c r="B25" s="11">
        <f>IFERROR(VLOOKUP(A25,Combine!A:E,4,0),"")</f>
        <v>-3.9884497383143702E-2</v>
      </c>
      <c r="C25" s="47">
        <f>VLOOKUP(A25,'S&amp;P 500'!P:R,3,0)</f>
        <v>-2.4312850759180882E-2</v>
      </c>
    </row>
    <row r="26" spans="1:15" x14ac:dyDescent="0.3">
      <c r="A26" s="11" t="s">
        <v>55</v>
      </c>
      <c r="B26" s="11">
        <f>IFERROR(VLOOKUP(A26,Combine!A:E,4,0),"")</f>
        <v>3.919729932483107E-2</v>
      </c>
      <c r="C26" s="47">
        <f>VLOOKUP(A26,'S&amp;P 500'!P:R,3,0)</f>
        <v>1.08508812860304E-2</v>
      </c>
      <c r="G26" s="50"/>
      <c r="H26" s="50" t="s">
        <v>241</v>
      </c>
      <c r="I26" s="50" t="s">
        <v>229</v>
      </c>
      <c r="J26" s="50" t="s">
        <v>242</v>
      </c>
      <c r="K26" s="50" t="s">
        <v>243</v>
      </c>
      <c r="L26" s="50" t="s">
        <v>244</v>
      </c>
      <c r="M26" s="50" t="s">
        <v>245</v>
      </c>
      <c r="N26" s="50" t="s">
        <v>246</v>
      </c>
      <c r="O26" s="50" t="s">
        <v>247</v>
      </c>
    </row>
    <row r="27" spans="1:15" x14ac:dyDescent="0.3">
      <c r="A27" s="11" t="s">
        <v>57</v>
      </c>
      <c r="B27" s="11">
        <f>IFERROR(VLOOKUP(A27,Combine!A:E,4,0),"")</f>
        <v>3.5742035742035716E-2</v>
      </c>
      <c r="C27" s="47">
        <f>VLOOKUP(A27,'S&amp;P 500'!P:R,3,0)</f>
        <v>-3.1000726251282362E-3</v>
      </c>
      <c r="G27" s="48" t="s">
        <v>235</v>
      </c>
      <c r="H27" s="48">
        <v>4.1176557328867127E-3</v>
      </c>
      <c r="I27" s="48">
        <v>3.0786771765053491E-3</v>
      </c>
      <c r="J27" s="48">
        <v>1.337475641912129</v>
      </c>
      <c r="K27" s="48">
        <v>0.18688829230071768</v>
      </c>
      <c r="L27" s="48">
        <v>-2.0601619871640792E-3</v>
      </c>
      <c r="M27" s="48">
        <v>1.0295473452937505E-2</v>
      </c>
      <c r="N27" s="48">
        <v>-2.0601619871640792E-3</v>
      </c>
      <c r="O27" s="48">
        <v>1.0295473452937505E-2</v>
      </c>
    </row>
    <row r="28" spans="1:15" ht="15" thickBot="1" x14ac:dyDescent="0.35">
      <c r="A28" s="11" t="s">
        <v>59</v>
      </c>
      <c r="B28" s="11">
        <f>IFERROR(VLOOKUP(A28,Combine!A:E,4,0),"")</f>
        <v>-4.0626813697040021E-3</v>
      </c>
      <c r="C28" s="47">
        <f>VLOOKUP(A28,'S&amp;P 500'!P:R,3,0)</f>
        <v>1.216076448637593E-2</v>
      </c>
      <c r="G28" s="49" t="s">
        <v>216</v>
      </c>
      <c r="H28" s="49">
        <v>2.0744088558013178E-2</v>
      </c>
      <c r="I28" s="49">
        <v>2.1635195322913425E-2</v>
      </c>
      <c r="J28" s="49">
        <v>0.95881216917156775</v>
      </c>
      <c r="K28" s="49">
        <v>0.3420903824353303</v>
      </c>
      <c r="L28" s="49">
        <v>-2.2670107013596577E-2</v>
      </c>
      <c r="M28" s="49">
        <v>6.4158284129622933E-2</v>
      </c>
      <c r="N28" s="49">
        <v>-2.2670107013596577E-2</v>
      </c>
      <c r="O28" s="49">
        <v>6.4158284129622933E-2</v>
      </c>
    </row>
    <row r="29" spans="1:15" x14ac:dyDescent="0.3">
      <c r="A29" s="11" t="s">
        <v>61</v>
      </c>
      <c r="B29" s="11">
        <f>IFERROR(VLOOKUP(A29,Combine!A:E,4,0),"")</f>
        <v>-2.3242630385487573E-2</v>
      </c>
      <c r="C29" s="47">
        <f>VLOOKUP(A29,'S&amp;P 500'!P:R,3,0)</f>
        <v>1.5858983260047754E-2</v>
      </c>
    </row>
    <row r="30" spans="1:15" x14ac:dyDescent="0.3">
      <c r="A30" s="11" t="s">
        <v>63</v>
      </c>
      <c r="B30" s="11">
        <f>IFERROR(VLOOKUP(A30,Combine!A:E,4,0),"")</f>
        <v>-8.0599812558574957E-3</v>
      </c>
      <c r="C30" s="47">
        <f>VLOOKUP(A30,'S&amp;P 500'!P:R,3,0)</f>
        <v>3.287793370545522E-3</v>
      </c>
    </row>
    <row r="31" spans="1:15" x14ac:dyDescent="0.3">
      <c r="A31" s="11" t="s">
        <v>65</v>
      </c>
      <c r="B31" s="11">
        <f>IFERROR(VLOOKUP(A31,Combine!A:E,4,0),"")</f>
        <v>-3.2462821907870865E-2</v>
      </c>
      <c r="C31" s="47">
        <f>VLOOKUP(A31,'S&amp;P 500'!P:R,3,0)</f>
        <v>-1.0283118212561781E-3</v>
      </c>
    </row>
    <row r="32" spans="1:15" x14ac:dyDescent="0.3">
      <c r="A32" s="11" t="s">
        <v>67</v>
      </c>
      <c r="B32" s="11">
        <f>IFERROR(VLOOKUP(A32,Combine!A:E,4,0),"")</f>
        <v>3.0461595963371391E-2</v>
      </c>
      <c r="C32" s="47">
        <f>VLOOKUP(A32,'S&amp;P 500'!P:R,3,0)</f>
        <v>2.65279543551733E-3</v>
      </c>
    </row>
    <row r="33" spans="1:3" x14ac:dyDescent="0.3">
      <c r="A33" s="11" t="s">
        <v>69</v>
      </c>
      <c r="B33" s="11">
        <f>IFERROR(VLOOKUP(A33,Combine!A:E,4,0),"")</f>
        <v>2.6669224865694563E-2</v>
      </c>
      <c r="C33" s="47">
        <f>VLOOKUP(A33,'S&amp;P 500'!P:R,3,0)</f>
        <v>9.4452574165226899E-3</v>
      </c>
    </row>
    <row r="34" spans="1:3" x14ac:dyDescent="0.3">
      <c r="A34" s="11" t="s">
        <v>71</v>
      </c>
      <c r="B34" s="11">
        <f>IFERROR(VLOOKUP(A34,Combine!A:E,4,0),"")</f>
        <v>6.1507128309572279E-2</v>
      </c>
      <c r="C34" s="47">
        <f>VLOOKUP(A34,'S&amp;P 500'!P:R,3,0)</f>
        <v>2.4276972944897501E-2</v>
      </c>
    </row>
    <row r="35" spans="1:3" x14ac:dyDescent="0.3">
      <c r="A35" s="11" t="s">
        <v>73</v>
      </c>
      <c r="B35" s="11">
        <f>IFERROR(VLOOKUP(A35,Combine!A:E,4,0),"")</f>
        <v>-0.11515588394305276</v>
      </c>
      <c r="C35" s="47">
        <f>VLOOKUP(A35,'S&amp;P 500'!P:R,3,0)</f>
        <v>-2.3577788073831041E-2</v>
      </c>
    </row>
    <row r="36" spans="1:3" x14ac:dyDescent="0.3">
      <c r="A36" s="11" t="s">
        <v>75</v>
      </c>
      <c r="B36" s="11">
        <f>IFERROR(VLOOKUP(A36,Combine!A:E,4,0),"")</f>
        <v>8.1044223650886593E-2</v>
      </c>
      <c r="C36" s="47">
        <f>VLOOKUP(A36,'S&amp;P 500'!P:R,3,0)</f>
        <v>1.4586797399945173E-2</v>
      </c>
    </row>
    <row r="37" spans="1:3" x14ac:dyDescent="0.3">
      <c r="A37" s="11" t="s">
        <v>77</v>
      </c>
      <c r="B37" s="11">
        <f>IFERROR(VLOOKUP(A37,Combine!A:E,4,0),"")</f>
        <v>-3.3515345509320338E-2</v>
      </c>
      <c r="C37" s="47">
        <f>VLOOKUP(A37,'S&amp;P 500'!P:R,3,0)</f>
        <v>5.9171692160229217E-3</v>
      </c>
    </row>
    <row r="38" spans="1:3" x14ac:dyDescent="0.3">
      <c r="A38" s="11" t="s">
        <v>79</v>
      </c>
      <c r="B38" s="11">
        <f>IFERROR(VLOOKUP(A38,Combine!A:E,4,0),"")</f>
        <v>6.0503194888178902E-2</v>
      </c>
      <c r="C38" s="47">
        <f>VLOOKUP(A38,'S&amp;P 500'!P:R,3,0)</f>
        <v>-3.1213421771362215E-3</v>
      </c>
    </row>
    <row r="39" spans="1:3" x14ac:dyDescent="0.3">
      <c r="A39" s="11" t="s">
        <v>81</v>
      </c>
      <c r="B39" s="11">
        <f>IFERROR(VLOOKUP(A39,Combine!A:E,4,0),"")</f>
        <v>-8.1204198851257958E-3</v>
      </c>
      <c r="C39" s="47">
        <f>VLOOKUP(A39,'S&amp;P 500'!P:R,3,0)</f>
        <v>1.721671712778261E-2</v>
      </c>
    </row>
    <row r="40" spans="1:3" x14ac:dyDescent="0.3">
      <c r="A40" s="11" t="s">
        <v>83</v>
      </c>
      <c r="B40" s="11">
        <f>IFERROR(VLOOKUP(A40,Combine!A:E,4,0),"")</f>
        <v>3.824799506477472E-2</v>
      </c>
      <c r="C40" s="47">
        <f>VLOOKUP(A40,'S&amp;P 500'!P:R,3,0)</f>
        <v>3.4389326791602892E-2</v>
      </c>
    </row>
    <row r="41" spans="1:3" x14ac:dyDescent="0.3">
      <c r="A41" s="11" t="s">
        <v>85</v>
      </c>
      <c r="B41" s="11">
        <f>IFERROR(VLOOKUP(A41,Combine!A:E,4,0),"")</f>
        <v>-4.3093270365997638E-2</v>
      </c>
      <c r="C41" s="47">
        <f>VLOOKUP(A41,'S&amp;P 500'!P:R,3,0)</f>
        <v>-1.5275298353514266E-3</v>
      </c>
    </row>
    <row r="42" spans="1:3" x14ac:dyDescent="0.3">
      <c r="A42" s="11" t="s">
        <v>87</v>
      </c>
      <c r="B42" s="11">
        <f>IFERROR(VLOOKUP(A42,Combine!A:E,4,0),"")</f>
        <v>-1.0321324245374908E-2</v>
      </c>
      <c r="C42" s="47">
        <f>VLOOKUP(A42,'S&amp;P 500'!P:R,3,0)</f>
        <v>-3.8980994473664099E-3</v>
      </c>
    </row>
    <row r="43" spans="1:3" x14ac:dyDescent="0.3">
      <c r="A43" s="11" t="s">
        <v>89</v>
      </c>
      <c r="B43" s="11">
        <f>IFERROR(VLOOKUP(A43,Combine!A:E,4,0),"")</f>
        <v>-2.3578627115421247E-2</v>
      </c>
      <c r="C43" s="47">
        <f>VLOOKUP(A43,'S&amp;P 500'!P:R,3,0)</f>
        <v>1.4999095013439545E-2</v>
      </c>
    </row>
    <row r="44" spans="1:3" x14ac:dyDescent="0.3">
      <c r="A44" s="11" t="s">
        <v>91</v>
      </c>
      <c r="B44" s="11">
        <f>IFERROR(VLOOKUP(A44,Combine!A:E,4,0),"")</f>
        <v>4.05619311436487E-2</v>
      </c>
      <c r="C44" s="47">
        <f>VLOOKUP(A44,'S&amp;P 500'!P:R,3,0)</f>
        <v>1.8761567651589983E-2</v>
      </c>
    </row>
    <row r="45" spans="1:3" x14ac:dyDescent="0.3">
      <c r="A45" s="11" t="s">
        <v>93</v>
      </c>
      <c r="B45" s="11">
        <f>IFERROR(VLOOKUP(A45,Combine!A:E,4,0),"")</f>
        <v>-3.7333333333333329E-2</v>
      </c>
      <c r="C45" s="47">
        <f>VLOOKUP(A45,'S&amp;P 500'!P:R,3,0)</f>
        <v>-2.610776754755495E-2</v>
      </c>
    </row>
    <row r="46" spans="1:3" x14ac:dyDescent="0.3">
      <c r="A46" s="11" t="s">
        <v>95</v>
      </c>
      <c r="B46" s="11">
        <v>0</v>
      </c>
      <c r="C46" s="47">
        <f>VLOOKUP(A46,'S&amp;P 500'!P:R,3,0)</f>
        <v>5.2734054075064929E-2</v>
      </c>
    </row>
    <row r="47" spans="1:3" x14ac:dyDescent="0.3">
      <c r="A47" s="11" t="s">
        <v>97</v>
      </c>
      <c r="B47" s="11">
        <f>IFERROR(VLOOKUP(A47,Combine!A:E,4,0),"")</f>
        <v>-1</v>
      </c>
      <c r="C47" s="47">
        <f>VLOOKUP(A47,'S&amp;P 500'!P:R,3,0)</f>
        <v>-4.7057416730705848E-3</v>
      </c>
    </row>
    <row r="48" spans="1:3" x14ac:dyDescent="0.3">
      <c r="A48" s="11" t="s">
        <v>99</v>
      </c>
      <c r="B48" s="11">
        <f>IFERROR(VLOOKUP(A48,Combine!A:E,4,0),"")</f>
        <v>-4.1794087665647295E-2</v>
      </c>
      <c r="C48" s="47">
        <f>VLOOKUP(A48,'S&amp;P 500'!P:R,3,0)</f>
        <v>2.9222418695397989E-2</v>
      </c>
    </row>
    <row r="49" spans="1:3" x14ac:dyDescent="0.3">
      <c r="A49" s="11" t="s">
        <v>101</v>
      </c>
      <c r="B49" s="11">
        <f>IFERROR(VLOOKUP(A49,Combine!A:E,4,0),"")</f>
        <v>-2.3686305732484203E-2</v>
      </c>
      <c r="C49" s="47">
        <f>VLOOKUP(A49,'S&amp;P 500'!P:R,3,0)</f>
        <v>4.5906449353550371E-2</v>
      </c>
    </row>
    <row r="50" spans="1:3" x14ac:dyDescent="0.3">
      <c r="A50" s="11" t="s">
        <v>103</v>
      </c>
      <c r="B50" s="11">
        <f>IFERROR(VLOOKUP(A50,Combine!A:E,4,0),"")</f>
        <v>8.6740211983560522E-2</v>
      </c>
      <c r="C50" s="47">
        <f>VLOOKUP(A50,'S&amp;P 500'!P:R,3,0)</f>
        <v>-1.5039079979714209E-2</v>
      </c>
    </row>
    <row r="51" spans="1:3" x14ac:dyDescent="0.3">
      <c r="A51" s="11" t="s">
        <v>105</v>
      </c>
      <c r="B51" s="11">
        <f>IFERROR(VLOOKUP(A51,Combine!A:E,4,0),"")</f>
        <v>4.2155094679891647E-2</v>
      </c>
      <c r="C51" s="47">
        <f>VLOOKUP(A51,'S&amp;P 500'!P:R,3,0)</f>
        <v>5.7011320278749889E-2</v>
      </c>
    </row>
    <row r="52" spans="1:3" x14ac:dyDescent="0.3">
      <c r="A52" s="11" t="s">
        <v>107</v>
      </c>
      <c r="B52" s="11">
        <f>IFERROR(VLOOKUP(A52,Combine!A:E,4,0),"")</f>
        <v>-1.7714791851195733E-2</v>
      </c>
      <c r="C52" s="47">
        <f>VLOOKUP(A52,'S&amp;P 500'!P:R,3,0)</f>
        <v>-9.0819826050808627E-2</v>
      </c>
    </row>
    <row r="53" spans="1:3" x14ac:dyDescent="0.3">
      <c r="A53" s="11" t="s">
        <v>109</v>
      </c>
      <c r="B53" s="11">
        <f>IFERROR(VLOOKUP(A53,Combine!A:E,4,0),"")</f>
        <v>-0.11985967647632056</v>
      </c>
      <c r="C53" s="47">
        <f>VLOOKUP(A53,'S&amp;P 500'!P:R,3,0)</f>
        <v>-1.5283472958380839E-2</v>
      </c>
    </row>
    <row r="54" spans="1:3" x14ac:dyDescent="0.3">
      <c r="A54" s="11" t="s">
        <v>111</v>
      </c>
      <c r="B54" s="11">
        <f>IFERROR(VLOOKUP(A54,Combine!A:E,4,0),"")</f>
        <v>-4.4684416309811903E-2</v>
      </c>
      <c r="C54" s="47">
        <f>VLOOKUP(A54,'S&amp;P 500'!P:R,3,0)</f>
        <v>5.0754219764708175E-3</v>
      </c>
    </row>
    <row r="55" spans="1:3" x14ac:dyDescent="0.3">
      <c r="A55" s="11" t="s">
        <v>113</v>
      </c>
      <c r="B55" s="11">
        <f>IFERROR(VLOOKUP(A55,Combine!A:E,4,0),"")</f>
        <v>-2.6816452255843393E-2</v>
      </c>
      <c r="C55" s="47">
        <v>0</v>
      </c>
    </row>
    <row r="56" spans="1:3" x14ac:dyDescent="0.3">
      <c r="B56" s="11" t="str">
        <f>IFERROR(VLOOKUP(A56,Combine!A:E,4,0),"")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Mercedes</vt:lpstr>
      <vt:lpstr>Dior</vt:lpstr>
      <vt:lpstr>Combine</vt:lpstr>
      <vt:lpstr>S&amp;P 500</vt:lpstr>
      <vt:lpstr>Sharpe Ratio and Comparison of </vt:lpstr>
      <vt:lpstr>Regression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2026-03-10T15:06:04Z</dcterms:modified>
</cp:coreProperties>
</file>